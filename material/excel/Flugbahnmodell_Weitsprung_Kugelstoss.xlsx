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142458b88ee2bed/Uni/Uni Oldenburg - Habillehre/Seminar_SS26_CUO/03_Aufgaben_und_Loesungen/"/>
    </mc:Choice>
  </mc:AlternateContent>
  <xr:revisionPtr revIDLastSave="5" documentId="11_73273E2C08CF3865A8713C1A1F6E15D816D7C004" xr6:coauthVersionLast="47" xr6:coauthVersionMax="47" xr10:uidLastSave="{9E146A43-AD04-4DF6-A014-1AB1B4846546}"/>
  <bookViews>
    <workbookView xWindow="-120" yWindow="-120" windowWidth="29040" windowHeight="15720" xr2:uid="{00000000-000D-0000-FFFF-FFFF00000000}"/>
  </bookViews>
  <sheets>
    <sheet name="Weitsprung" sheetId="1" r:id="rId1"/>
    <sheet name="Kugelstoß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D38" i="2"/>
  <c r="C38" i="2"/>
  <c r="B38" i="2"/>
  <c r="F38" i="2" s="1"/>
  <c r="E37" i="2"/>
  <c r="D37" i="2"/>
  <c r="C37" i="2"/>
  <c r="B37" i="2"/>
  <c r="F37" i="2" s="1"/>
  <c r="E36" i="2"/>
  <c r="D36" i="2"/>
  <c r="C36" i="2"/>
  <c r="B36" i="2"/>
  <c r="F36" i="2" s="1"/>
  <c r="E35" i="2"/>
  <c r="D35" i="2"/>
  <c r="C35" i="2"/>
  <c r="B35" i="2"/>
  <c r="F35" i="2" s="1"/>
  <c r="E34" i="2"/>
  <c r="D34" i="2"/>
  <c r="C34" i="2"/>
  <c r="B34" i="2"/>
  <c r="F34" i="2" s="1"/>
  <c r="E33" i="2"/>
  <c r="D33" i="2"/>
  <c r="C33" i="2"/>
  <c r="B33" i="2"/>
  <c r="F33" i="2" s="1"/>
  <c r="E32" i="2"/>
  <c r="D32" i="2"/>
  <c r="C32" i="2"/>
  <c r="B32" i="2"/>
  <c r="F32" i="2" s="1"/>
  <c r="E31" i="2"/>
  <c r="D31" i="2"/>
  <c r="C31" i="2"/>
  <c r="B31" i="2"/>
  <c r="F31" i="2" s="1"/>
  <c r="B17" i="2"/>
  <c r="E38" i="1"/>
  <c r="D38" i="1"/>
  <c r="C38" i="1"/>
  <c r="B38" i="1"/>
  <c r="F38" i="1" s="1"/>
  <c r="E37" i="1"/>
  <c r="D37" i="1"/>
  <c r="C37" i="1"/>
  <c r="B37" i="1"/>
  <c r="F37" i="1" s="1"/>
  <c r="E36" i="1"/>
  <c r="D36" i="1"/>
  <c r="C36" i="1"/>
  <c r="B36" i="1"/>
  <c r="E35" i="1"/>
  <c r="D35" i="1"/>
  <c r="C35" i="1"/>
  <c r="B35" i="1"/>
  <c r="F35" i="1" s="1"/>
  <c r="E34" i="1"/>
  <c r="D34" i="1"/>
  <c r="C34" i="1"/>
  <c r="B34" i="1"/>
  <c r="F34" i="1" s="1"/>
  <c r="E33" i="1"/>
  <c r="D33" i="1"/>
  <c r="C33" i="1"/>
  <c r="B33" i="1"/>
  <c r="F33" i="1" s="1"/>
  <c r="E32" i="1"/>
  <c r="D32" i="1"/>
  <c r="C32" i="1"/>
  <c r="B32" i="1"/>
  <c r="F32" i="1" s="1"/>
  <c r="E31" i="1"/>
  <c r="D31" i="1"/>
  <c r="C31" i="1"/>
  <c r="B31" i="1"/>
  <c r="F31" i="1" s="1"/>
  <c r="B17" i="1"/>
  <c r="F36" i="1" l="1"/>
  <c r="B19" i="2"/>
  <c r="B18" i="2"/>
  <c r="B18" i="1"/>
  <c r="B19" i="1"/>
  <c r="B20" i="2" l="1"/>
  <c r="B21" i="2" s="1"/>
  <c r="B22" i="2"/>
  <c r="R22" i="2"/>
  <c r="R23" i="2"/>
  <c r="R24" i="2"/>
  <c r="B25" i="2"/>
  <c r="B27" i="2" s="1"/>
  <c r="R25" i="2"/>
  <c r="B26" i="2"/>
  <c r="J7" i="2" s="1"/>
  <c r="R26" i="2"/>
  <c r="R27" i="2"/>
  <c r="R28" i="2"/>
  <c r="R29" i="2"/>
  <c r="R30" i="2"/>
  <c r="R31" i="2"/>
  <c r="R32" i="2"/>
  <c r="R33" i="2"/>
  <c r="R34" i="2"/>
  <c r="R7" i="2"/>
  <c r="R8" i="2"/>
  <c r="R9" i="2"/>
  <c r="R10" i="2"/>
  <c r="R11" i="2"/>
  <c r="R12" i="2"/>
  <c r="R14" i="2"/>
  <c r="R16" i="2"/>
  <c r="R35" i="2"/>
  <c r="R36" i="2"/>
  <c r="R38" i="2"/>
  <c r="R43" i="2"/>
  <c r="R49" i="2"/>
  <c r="R50" i="2"/>
  <c r="R51" i="2"/>
  <c r="R6" i="2"/>
  <c r="R37" i="2"/>
  <c r="R39" i="2"/>
  <c r="R40" i="2"/>
  <c r="R41" i="2"/>
  <c r="R42" i="2"/>
  <c r="R44" i="2"/>
  <c r="R45" i="2"/>
  <c r="R46" i="2"/>
  <c r="R47" i="2"/>
  <c r="R48" i="2"/>
  <c r="R52" i="2"/>
  <c r="R53" i="2"/>
  <c r="R3" i="2"/>
  <c r="R4" i="2"/>
  <c r="R5" i="2"/>
  <c r="R13" i="2"/>
  <c r="R15" i="2"/>
  <c r="R17" i="2"/>
  <c r="R18" i="2"/>
  <c r="Q18" i="2"/>
  <c r="Q19" i="2"/>
  <c r="Q20" i="2"/>
  <c r="Q21" i="2"/>
  <c r="Q22" i="2"/>
  <c r="B23" i="2"/>
  <c r="B24" i="2" s="1"/>
  <c r="Q31" i="2"/>
  <c r="Q32" i="2"/>
  <c r="Q33" i="2"/>
  <c r="Q34" i="2"/>
  <c r="Q35" i="2"/>
  <c r="Q40" i="2"/>
  <c r="Q41" i="2"/>
  <c r="Q42" i="2"/>
  <c r="Q44" i="2"/>
  <c r="Q45" i="2"/>
  <c r="Q46" i="2"/>
  <c r="Q47" i="2"/>
  <c r="Q48" i="2"/>
  <c r="Q52" i="2"/>
  <c r="Q53" i="2"/>
  <c r="Q36" i="2"/>
  <c r="Q37" i="2"/>
  <c r="Q4" i="2"/>
  <c r="Q38" i="2"/>
  <c r="Q39" i="2"/>
  <c r="Q43" i="2"/>
  <c r="Q49" i="2"/>
  <c r="Q50" i="2"/>
  <c r="Q51" i="2"/>
  <c r="Q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B20" i="1"/>
  <c r="B21" i="1" s="1"/>
  <c r="B22" i="1" s="1"/>
  <c r="B25" i="1"/>
  <c r="B27" i="1" s="1"/>
  <c r="B26" i="1"/>
  <c r="J7" i="1" s="1"/>
  <c r="G34" i="2" l="1"/>
  <c r="G36" i="2"/>
  <c r="G32" i="2"/>
  <c r="G35" i="2"/>
  <c r="G38" i="2"/>
  <c r="G31" i="2"/>
  <c r="G33" i="2"/>
  <c r="G37" i="2"/>
  <c r="L7" i="2"/>
  <c r="F7" i="2"/>
  <c r="H7" i="2"/>
  <c r="R19" i="2"/>
  <c r="R20" i="2"/>
  <c r="R21" i="2"/>
  <c r="Q23" i="2"/>
  <c r="Q24" i="2"/>
  <c r="Q25" i="2"/>
  <c r="Q26" i="2"/>
  <c r="Q27" i="2"/>
  <c r="Q28" i="2"/>
  <c r="Q29" i="2"/>
  <c r="Q30" i="2"/>
  <c r="R19" i="1"/>
  <c r="R18" i="1"/>
  <c r="Q18" i="1"/>
  <c r="Q48" i="1"/>
  <c r="Q42" i="1"/>
  <c r="Q38" i="1"/>
  <c r="Q35" i="1"/>
  <c r="Q20" i="1"/>
  <c r="R16" i="1"/>
  <c r="R15" i="1"/>
  <c r="R13" i="1"/>
  <c r="R12" i="1"/>
  <c r="R11" i="1"/>
  <c r="R10" i="1"/>
  <c r="R9" i="1"/>
  <c r="R8" i="1"/>
  <c r="R7" i="1"/>
  <c r="R6" i="1"/>
  <c r="R5" i="1"/>
  <c r="R4" i="1"/>
  <c r="R3" i="1"/>
  <c r="R52" i="1"/>
  <c r="R48" i="1"/>
  <c r="R47" i="1"/>
  <c r="R46" i="1"/>
  <c r="R37" i="1"/>
  <c r="R36" i="1"/>
  <c r="R34" i="1"/>
  <c r="R33" i="1"/>
  <c r="R32" i="1"/>
  <c r="R30" i="1"/>
  <c r="R26" i="1"/>
  <c r="R25" i="1"/>
  <c r="R21" i="1"/>
  <c r="R20" i="1"/>
  <c r="Q17" i="1"/>
  <c r="Q16" i="1"/>
  <c r="Q15" i="1"/>
  <c r="Q14" i="1"/>
  <c r="Q10" i="1"/>
  <c r="Q9" i="1"/>
  <c r="Q8" i="1"/>
  <c r="Q7" i="1"/>
  <c r="Q6" i="1"/>
  <c r="Q5" i="1"/>
  <c r="Q4" i="1"/>
  <c r="Q3" i="1"/>
  <c r="Q53" i="1"/>
  <c r="Q52" i="1"/>
  <c r="Q51" i="1"/>
  <c r="Q50" i="1"/>
  <c r="Q49" i="1"/>
  <c r="Q46" i="1"/>
  <c r="Q45" i="1"/>
  <c r="Q36" i="1"/>
  <c r="Q34" i="1"/>
  <c r="Q33" i="1"/>
  <c r="Q32" i="1"/>
  <c r="Q31" i="1"/>
  <c r="Q30" i="1"/>
  <c r="Q29" i="1"/>
  <c r="Q28" i="1"/>
  <c r="Q27" i="1"/>
  <c r="Q26" i="1"/>
  <c r="Q24" i="1"/>
  <c r="B23" i="1"/>
  <c r="B24" i="1" s="1"/>
  <c r="Q22" i="1"/>
  <c r="Q21" i="1"/>
  <c r="Q19" i="1"/>
  <c r="Q12" i="1"/>
  <c r="Q44" i="1"/>
  <c r="Q40" i="1"/>
  <c r="Q25" i="1"/>
  <c r="Q13" i="1"/>
  <c r="Q47" i="1"/>
  <c r="Q41" i="1"/>
  <c r="Q37" i="1"/>
  <c r="Q23" i="1"/>
  <c r="Q11" i="1"/>
  <c r="Q43" i="1"/>
  <c r="Q39" i="1"/>
  <c r="R17" i="1"/>
  <c r="R14" i="1"/>
  <c r="R53" i="1"/>
  <c r="R51" i="1"/>
  <c r="R50" i="1"/>
  <c r="R49" i="1"/>
  <c r="R45" i="1"/>
  <c r="R44" i="1"/>
  <c r="R43" i="1"/>
  <c r="R42" i="1"/>
  <c r="R41" i="1"/>
  <c r="R40" i="1"/>
  <c r="R39" i="1"/>
  <c r="R38" i="1"/>
  <c r="R35" i="1"/>
  <c r="R31" i="1"/>
  <c r="R29" i="1"/>
  <c r="R28" i="1"/>
  <c r="R27" i="1"/>
  <c r="R24" i="1"/>
  <c r="R23" i="1"/>
  <c r="R22" i="1"/>
  <c r="H7" i="1"/>
  <c r="L7" i="1" l="1"/>
  <c r="F7" i="1"/>
  <c r="G36" i="1"/>
  <c r="G34" i="1"/>
  <c r="G31" i="1"/>
  <c r="G37" i="1"/>
  <c r="G33" i="1"/>
  <c r="G38" i="1"/>
  <c r="G35" i="1"/>
  <c r="G32" i="1"/>
</calcChain>
</file>

<file path=xl/sharedStrings.xml><?xml version="1.0" encoding="utf-8"?>
<sst xmlns="http://schemas.openxmlformats.org/spreadsheetml/2006/main" count="258" uniqueCount="119">
  <si>
    <t>Flugbahnmodell: Weitsprung</t>
  </si>
  <si>
    <t>Schritt</t>
  </si>
  <si>
    <t>x (m)</t>
  </si>
  <si>
    <t>Höhe y (m)</t>
  </si>
  <si>
    <t>Gelbe Zellen ändern. Rechenweg, Flugbahn, Szenarien und Vergleich aktualisieren sich automatisch.</t>
  </si>
  <si>
    <t>1  Eingaben</t>
  </si>
  <si>
    <t>Kernergebnisse</t>
  </si>
  <si>
    <t>Parameter</t>
  </si>
  <si>
    <t>Eingabe</t>
  </si>
  <si>
    <t>Einheit</t>
  </si>
  <si>
    <t>Bedeutung</t>
  </si>
  <si>
    <t>Modellweite (m)</t>
  </si>
  <si>
    <t>Flugzeit (s)</t>
  </si>
  <si>
    <t>Max. Höhe (m)</t>
  </si>
  <si>
    <t>DOSB-Vergleich der gewählten Gruppe</t>
  </si>
  <si>
    <t>Abfluggeschwindigkeit v₀</t>
  </si>
  <si>
    <t>m/s</t>
  </si>
  <si>
    <t>Geschwindigkeit des Schwerpunkts bzw. Kugelzentrums beim Abflug</t>
  </si>
  <si>
    <t>Abflugwinkel α₀</t>
  </si>
  <si>
    <t>°</t>
  </si>
  <si>
    <t>Winkel der Geschwindigkeit gegen die Waagerechte</t>
  </si>
  <si>
    <t>Abflughöhe z₀</t>
  </si>
  <si>
    <t>m</t>
  </si>
  <si>
    <t>Höhe des Körperschwerpunkts beim Absprung</t>
  </si>
  <si>
    <t>Messkorrektur / Zusatzdistanz Δx</t>
  </si>
  <si>
    <t>Positiv wird addiert, negativ abgezogen; gehört nicht zur eigentlichen Flugbewegung</t>
  </si>
  <si>
    <t>Erdbeschleunigung g</t>
  </si>
  <si>
    <t>m/s²</t>
  </si>
  <si>
    <t>Auf der Erde etwa 9,81; für Gedankenexperimente veränderbar</t>
  </si>
  <si>
    <t>Flugbahn</t>
  </si>
  <si>
    <t>DOSB-Referenzgruppe</t>
  </si>
  <si>
    <t>männlich 14–15</t>
  </si>
  <si>
    <t>Steuert nur die Einordnung in der Vergleichstabelle</t>
  </si>
  <si>
    <t>Körpermasse (nur Kontext)</t>
  </si>
  <si>
    <t>kg</t>
  </si>
  <si>
    <t>Im idealen Modell ohne Luftwiderstand verändert die Masse die Flugweite nicht</t>
  </si>
  <si>
    <t>2  Rechenweg in einzelnen Termen</t>
  </si>
  <si>
    <t>Rechenschritt</t>
  </si>
  <si>
    <t>Wert</t>
  </si>
  <si>
    <t>Formelterm / Erklärung</t>
  </si>
  <si>
    <t>Winkel im Bogenmaß</t>
  </si>
  <si>
    <t>rad</t>
  </si>
  <si>
    <t>RADIANS(α₀)</t>
  </si>
  <si>
    <t>Horizontale Geschwindigkeit vₓ</t>
  </si>
  <si>
    <t>vₓ = v₀ · cos(α₀)</t>
  </si>
  <si>
    <t>Vertikale Geschwindigkeit vᵧ</t>
  </si>
  <si>
    <t>vᵧ = v₀ · sin(α₀)</t>
  </si>
  <si>
    <t>Radikand</t>
  </si>
  <si>
    <t>m²/s²</t>
  </si>
  <si>
    <t>vᵧ² + 2 · g · z₀</t>
  </si>
  <si>
    <t>Wurzelterm</t>
  </si>
  <si>
    <t>√(Radikand)</t>
  </si>
  <si>
    <t>Flugzeit t</t>
  </si>
  <si>
    <t>s</t>
  </si>
  <si>
    <t>(vᵧ + Wurzelterm) / g</t>
  </si>
  <si>
    <t>Physikalische Flugweite Wphys</t>
  </si>
  <si>
    <t>vₓ · t</t>
  </si>
  <si>
    <t>Modellweite W</t>
  </si>
  <si>
    <t>Wphys + Δx</t>
  </si>
  <si>
    <t>Zeit bis zum Scheitelpunkt</t>
  </si>
  <si>
    <t>vᵧ / g</t>
  </si>
  <si>
    <t>Maximale Höhe</t>
  </si>
  <si>
    <t>z₀ + vᵧ² / (2 · g)</t>
  </si>
  <si>
    <t>x-Position am Scheitelpunkt</t>
  </si>
  <si>
    <t>Δx + vₓ · tScheitel</t>
  </si>
  <si>
    <t>3  Was verändert die Weite?</t>
  </si>
  <si>
    <t>Vergleichswerte</t>
  </si>
  <si>
    <t>Szenario</t>
  </si>
  <si>
    <t>v₀ (m/s)</t>
  </si>
  <si>
    <t>α₀ (°)</t>
  </si>
  <si>
    <t>z₀ (m)</t>
  </si>
  <si>
    <t>Δx (m)</t>
  </si>
  <si>
    <t>Änderung (m)</t>
  </si>
  <si>
    <t>DOSB-Schwellen: Bronze / Silber / Gold für die einzelne Disziplin</t>
  </si>
  <si>
    <t>Aktuelle Eingaben</t>
  </si>
  <si>
    <t>Referenzgruppe</t>
  </si>
  <si>
    <t>Gerät (kg)</t>
  </si>
  <si>
    <t>Bronze (m)</t>
  </si>
  <si>
    <t>Silber (m)</t>
  </si>
  <si>
    <t>Gold (m)</t>
  </si>
  <si>
    <t>Quelle</t>
  </si>
  <si>
    <t>Ohne Abflughöhe</t>
  </si>
  <si>
    <t>weiblich 14–15</t>
  </si>
  <si>
    <t>DOSB</t>
  </si>
  <si>
    <t>Ohne Zusatzdistanz</t>
  </si>
  <si>
    <t>weiblich 16–17</t>
  </si>
  <si>
    <t>Ohne Höhe und Zusatzdistanz</t>
  </si>
  <si>
    <t>Abflugwinkel − 5°</t>
  </si>
  <si>
    <t>männlich 16–17</t>
  </si>
  <si>
    <t>Abflugwinkel + 5°</t>
  </si>
  <si>
    <t>Geschwindigkeit − 1 m/s</t>
  </si>
  <si>
    <t>Geschwindigkeit + 1 m/s</t>
  </si>
  <si>
    <t>Weltrekorde</t>
  </si>
  <si>
    <t>Weite (m)</t>
  </si>
  <si>
    <t>Athlet/in</t>
  </si>
  <si>
    <t>Jahr</t>
  </si>
  <si>
    <t>Frauen</t>
  </si>
  <si>
    <t>Galina Chistyakova</t>
  </si>
  <si>
    <t>World Athletics</t>
  </si>
  <si>
    <t>4  Modellformel und Grenzen</t>
  </si>
  <si>
    <t>Männer</t>
  </si>
  <si>
    <t>Mike Powell</t>
  </si>
  <si>
    <t>W = (v₀ · cos(α₀) / g) · (v₀ · sin(α₀) + √(v₀² · sin²(α₀) + 2 · g · z₀)) + Δx</t>
  </si>
  <si>
    <t>Die DOSB-Werte sind Schwellen der einzelnen Disziplin. Sie sind keine allgemeinen Schulnoten. Für das gesamte Sportabzeichen gelten zusätzliche Disziplinen und Regeln. Weltrekorde: Stand/Abruf 24.09.2026.</t>
  </si>
  <si>
    <t>Die beigefügte Formel liefert Wphys. Die frei wählbare Messkorrektur Δx wird anschließend addiert.</t>
  </si>
  <si>
    <t>Idealisiertes Punktmassenmodell ohne Luftwiderstand, Wind und Körperbewegungen in der Luft. Beim realen Weitsprung unterscheiden sich Schwerpunktflugweite und offiziell gemessene Weite; dafür kann Δx genutzt werden.</t>
  </si>
  <si>
    <t>https://deutsches-sportabzeichen.de/materialien</t>
  </si>
  <si>
    <t>https://worldathletics.org/disciplines/jumps/long-jump</t>
  </si>
  <si>
    <t>Flugbahnmodell: Kugelstoß</t>
  </si>
  <si>
    <t>Höhe des Kugelzentrums beim Abstoß</t>
  </si>
  <si>
    <t>Kugelmasse (Vergleich)</t>
  </si>
  <si>
    <t>Beeinflusst im Idealmodell nicht die Flugweite, muss aber zur DOSB-Referenzgruppe passen</t>
  </si>
  <si>
    <t>Natalya Lisovskaya</t>
  </si>
  <si>
    <t>Ryan Crouser</t>
  </si>
  <si>
    <t>Die DOSB-Vergleiche gelten nur mit der angegebenen Kugelmasse und nur für diese einzelne Disziplin. Sie sind keine allgemeinen Schulnoten. Weltrekorde: Stand/Abruf 24.09.2026.</t>
  </si>
  <si>
    <t>Idealisiertes Punktmassenmodell ohne Luftwiderstand, Spin und biomechanische Grenzen. Die Kugelmasse beeinflusst bei gleicher Abfluggeschwindigkeit die Flugweite nicht, wohl aber die erreichbare Geschwindigkeit in der Praxis.</t>
  </si>
  <si>
    <t>https://worldathletics.org/disciplines/throws/shot-put</t>
  </si>
  <si>
    <t>WA Männerliste</t>
  </si>
  <si>
    <t>https://worldathletics.org/records/all-time-toplists/throws/shot-put/all/men/senior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</si>
</sst>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>
    <font>
      <sz val="11"/>
      <name val="Carlito"/>
    </font>
    <font>
      <sz val="10"/>
      <color rgb="FF1F2937"/>
      <name val="Arial"/>
    </font>
    <font>
      <b/>
      <sz val="16"/>
      <color rgb="FF2F6B4F"/>
      <name val="Arial"/>
    </font>
    <font>
      <i/>
      <sz val="10"/>
      <color rgb="FF5B6573"/>
      <name val="Arial"/>
    </font>
    <font>
      <b/>
      <sz val="10"/>
      <color rgb="FFFFFFFF"/>
      <name val="Arial"/>
    </font>
    <font>
      <b/>
      <sz val="10"/>
      <color rgb="FF1F2937"/>
      <name val="Arial"/>
    </font>
    <font>
      <b/>
      <sz val="10"/>
      <color rgb="FF215E21"/>
      <name val="Arial"/>
    </font>
    <font>
      <b/>
      <sz val="9"/>
      <color rgb="FF2F6B4F"/>
      <name val="Arial"/>
    </font>
    <font>
      <b/>
      <sz val="15"/>
      <color rgb="FF2F6B4F"/>
      <name val="Arial"/>
    </font>
    <font>
      <b/>
      <sz val="11"/>
      <color rgb="FF2F6B4F"/>
      <name val="Arial"/>
    </font>
    <font>
      <i/>
      <sz val="9"/>
      <color rgb="FF5B6573"/>
      <name val="Arial"/>
    </font>
    <font>
      <sz val="8"/>
      <color rgb="FF0563C1"/>
      <name val="Arial"/>
    </font>
    <font>
      <b/>
      <sz val="12"/>
      <color rgb="FF2F6B4F"/>
      <name val="Arial"/>
    </font>
    <font>
      <sz val="9"/>
      <color rgb="FF5B6573"/>
      <name val="Arial"/>
    </font>
    <font>
      <b/>
      <sz val="8"/>
      <color rgb="FFFFFFFF"/>
      <name val="Arial"/>
    </font>
    <font>
      <sz val="8"/>
      <color rgb="FF5B6573"/>
      <name val="Arial"/>
    </font>
    <font>
      <b/>
      <sz val="16"/>
      <color rgb="FF2B5D87"/>
      <name val="Arial"/>
    </font>
    <font>
      <b/>
      <sz val="9"/>
      <color rgb="FF2B5D87"/>
      <name val="Arial"/>
    </font>
    <font>
      <b/>
      <sz val="15"/>
      <color rgb="FF2B5D87"/>
      <name val="Arial"/>
    </font>
    <font>
      <b/>
      <sz val="11"/>
      <color rgb="FF2B5D87"/>
      <name val="Arial"/>
    </font>
    <font>
      <b/>
      <sz val="12"/>
      <color rgb="FF2B5D87"/>
      <name val="Arial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F6B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E7F1EB"/>
      </patternFill>
    </fill>
    <fill>
      <patternFill patternType="solid">
        <fgColor rgb="FFF3F4F6"/>
      </patternFill>
    </fill>
    <fill>
      <patternFill patternType="solid">
        <fgColor rgb="FF6B7280"/>
      </patternFill>
    </fill>
    <fill>
      <patternFill patternType="solid">
        <fgColor rgb="FF2B5D87"/>
      </patternFill>
    </fill>
    <fill>
      <patternFill patternType="solid">
        <fgColor rgb="FFE6EEF6"/>
      </patternFill>
    </fill>
  </fills>
  <borders count="34">
    <border>
      <left/>
      <right/>
      <top/>
      <bottom/>
      <diagonal/>
    </border>
    <border>
      <left/>
      <right/>
      <top/>
      <bottom style="medium">
        <color rgb="FF2F6B4F"/>
      </bottom>
      <diagonal/>
    </border>
    <border>
      <left style="thin">
        <color rgb="FF2F6B4F"/>
      </left>
      <right/>
      <top style="thin">
        <color rgb="FF2F6B4F"/>
      </top>
      <bottom style="thin">
        <color rgb="FF2F6B4F"/>
      </bottom>
      <diagonal/>
    </border>
    <border>
      <left/>
      <right/>
      <top style="thin">
        <color rgb="FF2F6B4F"/>
      </top>
      <bottom style="thin">
        <color rgb="FF2F6B4F"/>
      </bottom>
      <diagonal/>
    </border>
    <border>
      <left/>
      <right style="thin">
        <color rgb="FF2F6B4F"/>
      </right>
      <top style="thin">
        <color rgb="FF2F6B4F"/>
      </top>
      <bottom style="thin">
        <color rgb="FF2F6B4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D6DCE5"/>
      </left>
      <right/>
      <top style="thin">
        <color rgb="FFD6DCE5"/>
      </top>
      <bottom/>
      <diagonal/>
    </border>
    <border>
      <left/>
      <right/>
      <top style="thin">
        <color rgb="FFD6DCE5"/>
      </top>
      <bottom/>
      <diagonal/>
    </border>
    <border>
      <left/>
      <right style="thin">
        <color rgb="FFD6DCE5"/>
      </right>
      <top style="thin">
        <color rgb="FFD6DCE5"/>
      </top>
      <bottom/>
      <diagonal/>
    </border>
    <border>
      <left style="thin">
        <color rgb="FFD6DCE5"/>
      </left>
      <right/>
      <top/>
      <bottom/>
      <diagonal/>
    </border>
    <border>
      <left/>
      <right style="thin">
        <color rgb="FFD6DCE5"/>
      </right>
      <top/>
      <bottom/>
      <diagonal/>
    </border>
    <border>
      <left style="thin">
        <color rgb="FFD6DCE5"/>
      </left>
      <right/>
      <top/>
      <bottom style="thin">
        <color rgb="FFD6DCE5"/>
      </bottom>
      <diagonal/>
    </border>
    <border>
      <left/>
      <right/>
      <top/>
      <bottom style="thin">
        <color rgb="FFD6DCE5"/>
      </bottom>
      <diagonal/>
    </border>
    <border>
      <left/>
      <right style="thin">
        <color rgb="FFD6DCE5"/>
      </right>
      <top/>
      <bottom style="thin">
        <color rgb="FFD6DCE5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2F6B4F"/>
      </left>
      <right/>
      <top style="medium">
        <color rgb="FF2F6B4F"/>
      </top>
      <bottom/>
      <diagonal/>
    </border>
    <border>
      <left/>
      <right style="medium">
        <color rgb="FF2F6B4F"/>
      </right>
      <top style="medium">
        <color rgb="FF2F6B4F"/>
      </top>
      <bottom/>
      <diagonal/>
    </border>
    <border>
      <left style="medium">
        <color rgb="FF2F6B4F"/>
      </left>
      <right/>
      <top/>
      <bottom style="medium">
        <color rgb="FF2F6B4F"/>
      </bottom>
      <diagonal/>
    </border>
    <border>
      <left/>
      <right style="medium">
        <color rgb="FF2F6B4F"/>
      </right>
      <top/>
      <bottom style="medium">
        <color rgb="FF2F6B4F"/>
      </bottom>
      <diagonal/>
    </border>
    <border>
      <left/>
      <right/>
      <top style="medium">
        <color rgb="FF2F6B4F"/>
      </top>
      <bottom/>
      <diagonal/>
    </border>
    <border>
      <left style="thin">
        <color rgb="FFD6DCE5"/>
      </left>
      <right style="thin">
        <color rgb="FFD6DCE5"/>
      </right>
      <top style="thin">
        <color rgb="FFD6DCE5"/>
      </top>
      <bottom style="thin">
        <color rgb="FFD6DCE5"/>
      </bottom>
      <diagonal/>
    </border>
    <border>
      <left/>
      <right/>
      <top/>
      <bottom style="medium">
        <color rgb="FF2B5D87"/>
      </bottom>
      <diagonal/>
    </border>
    <border>
      <left style="thin">
        <color rgb="FF2B5D87"/>
      </left>
      <right/>
      <top style="thin">
        <color rgb="FF2B5D87"/>
      </top>
      <bottom style="thin">
        <color rgb="FF2B5D87"/>
      </bottom>
      <diagonal/>
    </border>
    <border>
      <left/>
      <right/>
      <top style="thin">
        <color rgb="FF2B5D87"/>
      </top>
      <bottom style="thin">
        <color rgb="FF2B5D87"/>
      </bottom>
      <diagonal/>
    </border>
    <border>
      <left/>
      <right style="thin">
        <color rgb="FF2B5D87"/>
      </right>
      <top style="thin">
        <color rgb="FF2B5D87"/>
      </top>
      <bottom style="thin">
        <color rgb="FF2B5D87"/>
      </bottom>
      <diagonal/>
    </border>
    <border>
      <left style="medium">
        <color rgb="FF2B5D87"/>
      </left>
      <right/>
      <top style="medium">
        <color rgb="FF2B5D87"/>
      </top>
      <bottom/>
      <diagonal/>
    </border>
    <border>
      <left/>
      <right style="medium">
        <color rgb="FF2B5D87"/>
      </right>
      <top style="medium">
        <color rgb="FF2B5D87"/>
      </top>
      <bottom/>
      <diagonal/>
    </border>
    <border>
      <left style="medium">
        <color rgb="FF2B5D87"/>
      </left>
      <right/>
      <top/>
      <bottom style="medium">
        <color rgb="FF2B5D87"/>
      </bottom>
      <diagonal/>
    </border>
    <border>
      <left/>
      <right style="medium">
        <color rgb="FF2B5D87"/>
      </right>
      <top/>
      <bottom style="medium">
        <color rgb="FF2B5D87"/>
      </bottom>
      <diagonal/>
    </border>
    <border>
      <left/>
      <right/>
      <top style="medium">
        <color rgb="FF2B5D87"/>
      </top>
      <bottom/>
      <diagonal/>
    </border>
  </borders>
  <cellStyleXfs count="2">
    <xf numFmtId="0" fontId="0" fillId="0" borderId="0"/>
    <xf numFmtId="0" fontId="21" fillId="0" borderId="0"/>
  </cellStyleXfs>
  <cellXfs count="110">
    <xf numFmtId="0" fontId="0" fillId="0" borderId="0" xfId="0"/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3" borderId="2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4" fillId="3" borderId="4" xfId="1" applyFont="1" applyFill="1" applyBorder="1" applyAlignment="1">
      <alignment vertical="center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1" fillId="0" borderId="8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0" fontId="1" fillId="0" borderId="10" xfId="1" applyFont="1" applyBorder="1" applyAlignment="1">
      <alignment vertical="center"/>
    </xf>
    <xf numFmtId="0" fontId="1" fillId="0" borderId="11" xfId="1" applyFont="1" applyBorder="1" applyAlignment="1">
      <alignment vertical="center"/>
    </xf>
    <xf numFmtId="0" fontId="1" fillId="0" borderId="12" xfId="1" applyFont="1" applyBorder="1" applyAlignment="1">
      <alignment vertical="center"/>
    </xf>
    <xf numFmtId="0" fontId="1" fillId="0" borderId="13" xfId="1" applyFont="1" applyBorder="1" applyAlignment="1">
      <alignment vertical="center"/>
    </xf>
    <xf numFmtId="0" fontId="1" fillId="0" borderId="14" xfId="1" applyFont="1" applyBorder="1" applyAlignment="1">
      <alignment vertical="center"/>
    </xf>
    <xf numFmtId="0" fontId="1" fillId="0" borderId="15" xfId="1" applyFont="1" applyBorder="1" applyAlignment="1">
      <alignment vertical="center"/>
    </xf>
    <xf numFmtId="0" fontId="5" fillId="4" borderId="0" xfId="1" applyFont="1" applyFill="1" applyAlignment="1">
      <alignment vertical="center"/>
    </xf>
    <xf numFmtId="0" fontId="1" fillId="0" borderId="10" xfId="1" applyFont="1" applyBorder="1" applyAlignment="1">
      <alignment vertical="center" wrapText="1"/>
    </xf>
    <xf numFmtId="0" fontId="1" fillId="0" borderId="12" xfId="1" applyFont="1" applyBorder="1" applyAlignment="1">
      <alignment vertical="center" wrapText="1"/>
    </xf>
    <xf numFmtId="0" fontId="1" fillId="0" borderId="15" xfId="1" applyFont="1" applyBorder="1" applyAlignment="1">
      <alignment vertical="center" wrapText="1"/>
    </xf>
    <xf numFmtId="2" fontId="5" fillId="4" borderId="9" xfId="1" applyNumberFormat="1" applyFont="1" applyFill="1" applyBorder="1" applyAlignment="1">
      <alignment vertical="center"/>
    </xf>
    <xf numFmtId="2" fontId="5" fillId="4" borderId="0" xfId="1" applyNumberFormat="1" applyFont="1" applyFill="1" applyAlignment="1">
      <alignment vertical="center"/>
    </xf>
    <xf numFmtId="2" fontId="5" fillId="4" borderId="14" xfId="1" applyNumberFormat="1" applyFont="1" applyFill="1" applyBorder="1" applyAlignment="1">
      <alignment vertical="center"/>
    </xf>
    <xf numFmtId="164" fontId="1" fillId="5" borderId="9" xfId="1" applyNumberFormat="1" applyFont="1" applyFill="1" applyBorder="1" applyAlignment="1">
      <alignment vertical="center"/>
    </xf>
    <xf numFmtId="164" fontId="1" fillId="5" borderId="0" xfId="1" applyNumberFormat="1" applyFont="1" applyFill="1" applyAlignment="1">
      <alignment vertical="center"/>
    </xf>
    <xf numFmtId="164" fontId="1" fillId="5" borderId="14" xfId="1" applyNumberFormat="1" applyFont="1" applyFill="1" applyBorder="1" applyAlignment="1">
      <alignment vertical="center"/>
    </xf>
    <xf numFmtId="0" fontId="6" fillId="6" borderId="16" xfId="1" applyFont="1" applyFill="1" applyBorder="1" applyAlignment="1">
      <alignment vertical="center"/>
    </xf>
    <xf numFmtId="164" fontId="6" fillId="6" borderId="17" xfId="1" applyNumberFormat="1" applyFont="1" applyFill="1" applyBorder="1" applyAlignment="1">
      <alignment vertical="center"/>
    </xf>
    <xf numFmtId="0" fontId="6" fillId="6" borderId="17" xfId="1" applyFont="1" applyFill="1" applyBorder="1" applyAlignment="1">
      <alignment vertical="center"/>
    </xf>
    <xf numFmtId="0" fontId="6" fillId="6" borderId="18" xfId="1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7" fillId="7" borderId="4" xfId="1" applyFont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center" vertical="center" wrapText="1"/>
    </xf>
    <xf numFmtId="0" fontId="1" fillId="0" borderId="24" xfId="1" applyFont="1" applyBorder="1" applyAlignment="1">
      <alignment vertical="center"/>
    </xf>
    <xf numFmtId="2" fontId="1" fillId="0" borderId="24" xfId="1" applyNumberFormat="1" applyFont="1" applyBorder="1" applyAlignment="1">
      <alignment vertical="center"/>
    </xf>
    <xf numFmtId="0" fontId="1" fillId="7" borderId="24" xfId="1" applyFont="1" applyFill="1" applyBorder="1" applyAlignment="1">
      <alignment vertical="center"/>
    </xf>
    <xf numFmtId="2" fontId="1" fillId="7" borderId="24" xfId="1" applyNumberFormat="1" applyFont="1" applyFill="1" applyBorder="1" applyAlignment="1">
      <alignment vertical="center"/>
    </xf>
    <xf numFmtId="0" fontId="10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vertical="center" wrapText="1"/>
    </xf>
    <xf numFmtId="0" fontId="14" fillId="9" borderId="0" xfId="1" applyFont="1" applyFill="1" applyAlignment="1">
      <alignment horizontal="center" vertical="center"/>
    </xf>
    <xf numFmtId="164" fontId="15" fillId="0" borderId="0" xfId="1" applyNumberFormat="1" applyFont="1" applyAlignment="1">
      <alignment vertical="center"/>
    </xf>
    <xf numFmtId="0" fontId="4" fillId="10" borderId="26" xfId="1" applyFont="1" applyFill="1" applyBorder="1" applyAlignment="1">
      <alignment vertical="center"/>
    </xf>
    <xf numFmtId="0" fontId="4" fillId="10" borderId="27" xfId="1" applyFont="1" applyFill="1" applyBorder="1" applyAlignment="1">
      <alignment vertical="center"/>
    </xf>
    <xf numFmtId="0" fontId="4" fillId="10" borderId="28" xfId="1" applyFont="1" applyFill="1" applyBorder="1" applyAlignment="1">
      <alignment vertical="center"/>
    </xf>
    <xf numFmtId="0" fontId="4" fillId="10" borderId="5" xfId="1" applyFont="1" applyFill="1" applyBorder="1" applyAlignment="1">
      <alignment horizontal="center" vertical="center" wrapText="1"/>
    </xf>
    <xf numFmtId="0" fontId="4" fillId="10" borderId="6" xfId="1" applyFont="1" applyFill="1" applyBorder="1" applyAlignment="1">
      <alignment horizontal="center" vertical="center" wrapText="1"/>
    </xf>
    <xf numFmtId="0" fontId="4" fillId="10" borderId="7" xfId="1" applyFont="1" applyFill="1" applyBorder="1" applyAlignment="1">
      <alignment horizontal="center" vertical="center" wrapText="1"/>
    </xf>
    <xf numFmtId="0" fontId="17" fillId="11" borderId="26" xfId="1" applyFont="1" applyFill="1" applyBorder="1" applyAlignment="1">
      <alignment horizontal="center" vertical="center"/>
    </xf>
    <xf numFmtId="0" fontId="17" fillId="11" borderId="28" xfId="1" applyFont="1" applyFill="1" applyBorder="1" applyAlignment="1">
      <alignment horizontal="center" vertical="center"/>
    </xf>
    <xf numFmtId="0" fontId="4" fillId="10" borderId="24" xfId="1" applyFont="1" applyFill="1" applyBorder="1" applyAlignment="1">
      <alignment horizontal="center" vertical="center" wrapText="1"/>
    </xf>
    <xf numFmtId="0" fontId="1" fillId="11" borderId="24" xfId="1" applyFont="1" applyFill="1" applyBorder="1" applyAlignment="1">
      <alignment vertical="center"/>
    </xf>
    <xf numFmtId="2" fontId="1" fillId="11" borderId="24" xfId="1" applyNumberFormat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7" fillId="7" borderId="3" xfId="1" applyFont="1" applyFill="1" applyBorder="1" applyAlignment="1">
      <alignment horizontal="center" vertical="center"/>
    </xf>
    <xf numFmtId="0" fontId="7" fillId="7" borderId="4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22" xfId="1" applyFont="1" applyFill="1" applyBorder="1" applyAlignment="1">
      <alignment horizontal="center" vertical="center" wrapText="1"/>
    </xf>
    <xf numFmtId="2" fontId="8" fillId="2" borderId="19" xfId="1" applyNumberFormat="1" applyFont="1" applyFill="1" applyBorder="1" applyAlignment="1">
      <alignment horizontal="center" vertical="center"/>
    </xf>
    <xf numFmtId="2" fontId="8" fillId="2" borderId="20" xfId="1" applyNumberFormat="1" applyFont="1" applyFill="1" applyBorder="1" applyAlignment="1">
      <alignment horizontal="center" vertical="center"/>
    </xf>
    <xf numFmtId="2" fontId="8" fillId="2" borderId="21" xfId="1" applyNumberFormat="1" applyFont="1" applyFill="1" applyBorder="1" applyAlignment="1">
      <alignment horizontal="center" vertical="center"/>
    </xf>
    <xf numFmtId="2" fontId="8" fillId="2" borderId="22" xfId="1" applyNumberFormat="1" applyFont="1" applyFill="1" applyBorder="1" applyAlignment="1">
      <alignment horizontal="center" vertical="center"/>
    </xf>
    <xf numFmtId="0" fontId="10" fillId="8" borderId="8" xfId="1" applyFont="1" applyFill="1" applyBorder="1" applyAlignment="1">
      <alignment vertical="center" wrapText="1"/>
    </xf>
    <xf numFmtId="0" fontId="10" fillId="8" borderId="9" xfId="1" applyFont="1" applyFill="1" applyBorder="1" applyAlignment="1">
      <alignment vertical="center" wrapText="1"/>
    </xf>
    <xf numFmtId="0" fontId="10" fillId="8" borderId="10" xfId="1" applyFont="1" applyFill="1" applyBorder="1" applyAlignment="1">
      <alignment vertical="center" wrapText="1"/>
    </xf>
    <xf numFmtId="0" fontId="10" fillId="8" borderId="13" xfId="1" applyFont="1" applyFill="1" applyBorder="1" applyAlignment="1">
      <alignment vertical="center" wrapText="1"/>
    </xf>
    <xf numFmtId="0" fontId="10" fillId="8" borderId="14" xfId="1" applyFont="1" applyFill="1" applyBorder="1" applyAlignment="1">
      <alignment vertical="center" wrapText="1"/>
    </xf>
    <xf numFmtId="0" fontId="10" fillId="8" borderId="15" xfId="1" applyFont="1" applyFill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12" fillId="7" borderId="19" xfId="1" applyFont="1" applyFill="1" applyBorder="1" applyAlignment="1">
      <alignment horizontal="center" vertical="center" wrapText="1"/>
    </xf>
    <xf numFmtId="0" fontId="12" fillId="7" borderId="23" xfId="1" applyFont="1" applyFill="1" applyBorder="1" applyAlignment="1">
      <alignment horizontal="center" vertical="center" wrapText="1"/>
    </xf>
    <xf numFmtId="0" fontId="12" fillId="7" borderId="20" xfId="1" applyFont="1" applyFill="1" applyBorder="1" applyAlignment="1">
      <alignment horizontal="center" vertical="center" wrapText="1"/>
    </xf>
    <xf numFmtId="0" fontId="12" fillId="7" borderId="21" xfId="1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center" vertical="center" wrapText="1"/>
    </xf>
    <xf numFmtId="0" fontId="12" fillId="7" borderId="22" xfId="1" applyFont="1" applyFill="1" applyBorder="1" applyAlignment="1">
      <alignment horizontal="center" vertical="center" wrapText="1"/>
    </xf>
    <xf numFmtId="0" fontId="13" fillId="8" borderId="8" xfId="1" applyFont="1" applyFill="1" applyBorder="1" applyAlignment="1">
      <alignment vertical="center" wrapText="1"/>
    </xf>
    <xf numFmtId="0" fontId="13" fillId="8" borderId="9" xfId="1" applyFont="1" applyFill="1" applyBorder="1" applyAlignment="1">
      <alignment vertical="center" wrapText="1"/>
    </xf>
    <xf numFmtId="0" fontId="13" fillId="8" borderId="10" xfId="1" applyFont="1" applyFill="1" applyBorder="1" applyAlignment="1">
      <alignment vertical="center" wrapText="1"/>
    </xf>
    <xf numFmtId="0" fontId="13" fillId="8" borderId="11" xfId="1" applyFont="1" applyFill="1" applyBorder="1" applyAlignment="1">
      <alignment vertical="center" wrapText="1"/>
    </xf>
    <xf numFmtId="0" fontId="13" fillId="8" borderId="0" xfId="1" applyFont="1" applyFill="1" applyAlignment="1">
      <alignment vertical="center" wrapText="1"/>
    </xf>
    <xf numFmtId="0" fontId="13" fillId="8" borderId="12" xfId="1" applyFont="1" applyFill="1" applyBorder="1" applyAlignment="1">
      <alignment vertical="center" wrapText="1"/>
    </xf>
    <xf numFmtId="0" fontId="13" fillId="8" borderId="13" xfId="1" applyFont="1" applyFill="1" applyBorder="1" applyAlignment="1">
      <alignment vertical="center" wrapText="1"/>
    </xf>
    <xf numFmtId="0" fontId="13" fillId="8" borderId="14" xfId="1" applyFont="1" applyFill="1" applyBorder="1" applyAlignment="1">
      <alignment vertical="center" wrapText="1"/>
    </xf>
    <xf numFmtId="0" fontId="13" fillId="8" borderId="15" xfId="1" applyFont="1" applyFill="1" applyBorder="1" applyAlignment="1">
      <alignment vertical="center" wrapText="1"/>
    </xf>
    <xf numFmtId="0" fontId="16" fillId="2" borderId="25" xfId="1" applyFont="1" applyFill="1" applyBorder="1" applyAlignment="1">
      <alignment vertical="center"/>
    </xf>
    <xf numFmtId="0" fontId="17" fillId="11" borderId="26" xfId="1" applyFont="1" applyFill="1" applyBorder="1" applyAlignment="1">
      <alignment horizontal="center" vertical="center"/>
    </xf>
    <xf numFmtId="0" fontId="17" fillId="11" borderId="27" xfId="1" applyFont="1" applyFill="1" applyBorder="1" applyAlignment="1">
      <alignment horizontal="center" vertical="center"/>
    </xf>
    <xf numFmtId="0" fontId="17" fillId="11" borderId="28" xfId="1" applyFont="1" applyFill="1" applyBorder="1" applyAlignment="1">
      <alignment horizontal="center" vertical="center"/>
    </xf>
    <xf numFmtId="0" fontId="19" fillId="2" borderId="29" xfId="1" applyFont="1" applyFill="1" applyBorder="1" applyAlignment="1">
      <alignment horizontal="center" vertical="center" wrapText="1"/>
    </xf>
    <xf numFmtId="0" fontId="19" fillId="2" borderId="33" xfId="1" applyFont="1" applyFill="1" applyBorder="1" applyAlignment="1">
      <alignment horizontal="center" vertical="center" wrapText="1"/>
    </xf>
    <xf numFmtId="0" fontId="19" fillId="2" borderId="30" xfId="1" applyFont="1" applyFill="1" applyBorder="1" applyAlignment="1">
      <alignment horizontal="center" vertical="center" wrapText="1"/>
    </xf>
    <xf numFmtId="0" fontId="19" fillId="2" borderId="31" xfId="1" applyFont="1" applyFill="1" applyBorder="1" applyAlignment="1">
      <alignment horizontal="center" vertical="center" wrapText="1"/>
    </xf>
    <xf numFmtId="0" fontId="19" fillId="2" borderId="25" xfId="1" applyFont="1" applyFill="1" applyBorder="1" applyAlignment="1">
      <alignment horizontal="center" vertical="center" wrapText="1"/>
    </xf>
    <xf numFmtId="0" fontId="19" fillId="2" borderId="32" xfId="1" applyFont="1" applyFill="1" applyBorder="1" applyAlignment="1">
      <alignment horizontal="center" vertical="center" wrapText="1"/>
    </xf>
    <xf numFmtId="2" fontId="18" fillId="2" borderId="29" xfId="1" applyNumberFormat="1" applyFont="1" applyFill="1" applyBorder="1" applyAlignment="1">
      <alignment horizontal="center" vertical="center"/>
    </xf>
    <xf numFmtId="2" fontId="18" fillId="2" borderId="30" xfId="1" applyNumberFormat="1" applyFont="1" applyFill="1" applyBorder="1" applyAlignment="1">
      <alignment horizontal="center" vertical="center"/>
    </xf>
    <xf numFmtId="2" fontId="18" fillId="2" borderId="31" xfId="1" applyNumberFormat="1" applyFont="1" applyFill="1" applyBorder="1" applyAlignment="1">
      <alignment horizontal="center" vertical="center"/>
    </xf>
    <xf numFmtId="2" fontId="18" fillId="2" borderId="32" xfId="1" applyNumberFormat="1" applyFont="1" applyFill="1" applyBorder="1" applyAlignment="1">
      <alignment horizontal="center" vertical="center"/>
    </xf>
    <xf numFmtId="0" fontId="20" fillId="11" borderId="29" xfId="1" applyFont="1" applyFill="1" applyBorder="1" applyAlignment="1">
      <alignment horizontal="center" vertical="center" wrapText="1"/>
    </xf>
    <xf numFmtId="0" fontId="20" fillId="11" borderId="33" xfId="1" applyFont="1" applyFill="1" applyBorder="1" applyAlignment="1">
      <alignment horizontal="center" vertical="center" wrapText="1"/>
    </xf>
    <xf numFmtId="0" fontId="20" fillId="11" borderId="30" xfId="1" applyFont="1" applyFill="1" applyBorder="1" applyAlignment="1">
      <alignment horizontal="center" vertical="center" wrapText="1"/>
    </xf>
    <xf numFmtId="0" fontId="20" fillId="11" borderId="31" xfId="1" applyFont="1" applyFill="1" applyBorder="1" applyAlignment="1">
      <alignment horizontal="center" vertical="center" wrapText="1"/>
    </xf>
    <xf numFmtId="0" fontId="20" fillId="11" borderId="25" xfId="1" applyFont="1" applyFill="1" applyBorder="1" applyAlignment="1">
      <alignment horizontal="center" vertical="center" wrapText="1"/>
    </xf>
    <xf numFmtId="0" fontId="20" fillId="11" borderId="32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Standard" xfId="0" builtinId="0"/>
  </cellStyles>
  <dxfs count="14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595959"/>
      </font>
      <fill>
        <patternFill patternType="solid">
          <bgColor rgb="FFE7E6E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B5D87"/>
      </font>
      <fill>
        <patternFill patternType="solid">
          <bgColor rgb="FFE6EEF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215E21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595959"/>
      </font>
      <fill>
        <patternFill patternType="solid">
          <bgColor rgb="FFE7E6E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F6B4F"/>
      </font>
      <fill>
        <patternFill patternType="solid">
          <bgColor rgb="FFE7F1EB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215E21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DE" sz="900">
                <a:latin typeface="Arial"/>
                <a:ea typeface="Arial"/>
                <a:cs typeface="Arial"/>
              </a:rPr>
              <a:t>Weitsprung: Flugbahn im Messsystem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Höhe y (m)</c:v>
          </c:tx>
          <c:spPr>
            <a:ln w="19050">
              <a:solidFill>
                <a:srgbClr val="2F6B4F"/>
              </a:solidFill>
              <a:prstDash val="solid"/>
            </a:ln>
          </c:spPr>
          <c:marker>
            <c:symbol val="none"/>
          </c:marker>
          <c:cat>
            <c:numRef>
              <c:f>Weitsprung!$Q$3:$Q$53</c:f>
              <c:numCache>
                <c:formatCode>0.000</c:formatCode>
                <c:ptCount val="51"/>
                <c:pt idx="0">
                  <c:v>0.1</c:v>
                </c:pt>
                <c:pt idx="1">
                  <c:v>0.21</c:v>
                </c:pt>
                <c:pt idx="2">
                  <c:v>0.32</c:v>
                </c:pt>
                <c:pt idx="3">
                  <c:v>0.44</c:v>
                </c:pt>
                <c:pt idx="4">
                  <c:v>0.55000000000000004</c:v>
                </c:pt>
                <c:pt idx="5">
                  <c:v>0.66</c:v>
                </c:pt>
                <c:pt idx="6">
                  <c:v>0.77</c:v>
                </c:pt>
                <c:pt idx="7">
                  <c:v>0.88</c:v>
                </c:pt>
                <c:pt idx="8">
                  <c:v>0.99</c:v>
                </c:pt>
                <c:pt idx="9">
                  <c:v>1.1100000000000001</c:v>
                </c:pt>
                <c:pt idx="10">
                  <c:v>1.22</c:v>
                </c:pt>
                <c:pt idx="11">
                  <c:v>1.33</c:v>
                </c:pt>
                <c:pt idx="12">
                  <c:v>1.44</c:v>
                </c:pt>
                <c:pt idx="13">
                  <c:v>1.55</c:v>
                </c:pt>
                <c:pt idx="14">
                  <c:v>1.66</c:v>
                </c:pt>
                <c:pt idx="15">
                  <c:v>1.78</c:v>
                </c:pt>
                <c:pt idx="16">
                  <c:v>1.89</c:v>
                </c:pt>
                <c:pt idx="17">
                  <c:v>2</c:v>
                </c:pt>
                <c:pt idx="18">
                  <c:v>2.11</c:v>
                </c:pt>
                <c:pt idx="19">
                  <c:v>2.2200000000000002</c:v>
                </c:pt>
                <c:pt idx="20">
                  <c:v>2.34</c:v>
                </c:pt>
                <c:pt idx="21">
                  <c:v>2.4500000000000002</c:v>
                </c:pt>
                <c:pt idx="22">
                  <c:v>2.56</c:v>
                </c:pt>
                <c:pt idx="23">
                  <c:v>2.67</c:v>
                </c:pt>
                <c:pt idx="24">
                  <c:v>2.78</c:v>
                </c:pt>
                <c:pt idx="25">
                  <c:v>2.89</c:v>
                </c:pt>
                <c:pt idx="26">
                  <c:v>3.01</c:v>
                </c:pt>
                <c:pt idx="27">
                  <c:v>3.12</c:v>
                </c:pt>
                <c:pt idx="28">
                  <c:v>3.23</c:v>
                </c:pt>
                <c:pt idx="29">
                  <c:v>3.34</c:v>
                </c:pt>
                <c:pt idx="30">
                  <c:v>3.45</c:v>
                </c:pt>
                <c:pt idx="31">
                  <c:v>3.56</c:v>
                </c:pt>
                <c:pt idx="32">
                  <c:v>3.68</c:v>
                </c:pt>
                <c:pt idx="33">
                  <c:v>3.79</c:v>
                </c:pt>
                <c:pt idx="34">
                  <c:v>3.9</c:v>
                </c:pt>
                <c:pt idx="35">
                  <c:v>4.01</c:v>
                </c:pt>
                <c:pt idx="36">
                  <c:v>4.12</c:v>
                </c:pt>
                <c:pt idx="37">
                  <c:v>4.24</c:v>
                </c:pt>
                <c:pt idx="38">
                  <c:v>4.3499999999999996</c:v>
                </c:pt>
                <c:pt idx="39">
                  <c:v>4.46</c:v>
                </c:pt>
                <c:pt idx="40">
                  <c:v>4.57</c:v>
                </c:pt>
                <c:pt idx="41">
                  <c:v>4.68</c:v>
                </c:pt>
                <c:pt idx="42">
                  <c:v>4.79</c:v>
                </c:pt>
                <c:pt idx="43">
                  <c:v>4.91</c:v>
                </c:pt>
                <c:pt idx="44">
                  <c:v>5.0199999999999996</c:v>
                </c:pt>
                <c:pt idx="45">
                  <c:v>5.13</c:v>
                </c:pt>
                <c:pt idx="46">
                  <c:v>5.24</c:v>
                </c:pt>
                <c:pt idx="47">
                  <c:v>5.35</c:v>
                </c:pt>
                <c:pt idx="48">
                  <c:v>5.46</c:v>
                </c:pt>
                <c:pt idx="49">
                  <c:v>5.58</c:v>
                </c:pt>
                <c:pt idx="50">
                  <c:v>5.69</c:v>
                </c:pt>
              </c:numCache>
            </c:numRef>
          </c:cat>
          <c:val>
            <c:numRef>
              <c:f>Weitsprung!$R$3:$R$53</c:f>
              <c:numCache>
                <c:formatCode>0.000</c:formatCode>
                <c:ptCount val="51"/>
                <c:pt idx="0">
                  <c:v>1.2</c:v>
                </c:pt>
                <c:pt idx="1">
                  <c:v>1.2505952348117177</c:v>
                </c:pt>
                <c:pt idx="2">
                  <c:v>1.2981457661617326</c:v>
                </c:pt>
                <c:pt idx="3">
                  <c:v>1.3426515940500447</c:v>
                </c:pt>
                <c:pt idx="4">
                  <c:v>1.3841127184766542</c:v>
                </c:pt>
                <c:pt idx="5">
                  <c:v>1.4225291394415607</c:v>
                </c:pt>
                <c:pt idx="6">
                  <c:v>1.4579008569447647</c:v>
                </c:pt>
                <c:pt idx="7">
                  <c:v>1.4902278709862657</c:v>
                </c:pt>
                <c:pt idx="8">
                  <c:v>1.5195101815660641</c:v>
                </c:pt>
                <c:pt idx="9">
                  <c:v>1.5457477886841597</c:v>
                </c:pt>
                <c:pt idx="10">
                  <c:v>1.5689406923405527</c:v>
                </c:pt>
                <c:pt idx="11">
                  <c:v>1.5890888925352424</c:v>
                </c:pt>
                <c:pt idx="12">
                  <c:v>1.6061923892682299</c:v>
                </c:pt>
                <c:pt idx="13">
                  <c:v>1.6202511825395143</c:v>
                </c:pt>
                <c:pt idx="14">
                  <c:v>1.6312652723490961</c:v>
                </c:pt>
                <c:pt idx="15">
                  <c:v>1.6392346586969753</c:v>
                </c:pt>
                <c:pt idx="16">
                  <c:v>1.6441593415831517</c:v>
                </c:pt>
                <c:pt idx="17">
                  <c:v>1.6460393210076245</c:v>
                </c:pt>
                <c:pt idx="18">
                  <c:v>1.6448745969703955</c:v>
                </c:pt>
                <c:pt idx="19">
                  <c:v>1.6406651694714636</c:v>
                </c:pt>
                <c:pt idx="20">
                  <c:v>1.6334110385108287</c:v>
                </c:pt>
                <c:pt idx="21">
                  <c:v>1.6231122040884913</c:v>
                </c:pt>
                <c:pt idx="22">
                  <c:v>1.609768666204451</c:v>
                </c:pt>
                <c:pt idx="23">
                  <c:v>1.593380424858708</c:v>
                </c:pt>
                <c:pt idx="24">
                  <c:v>1.5739474800512623</c:v>
                </c:pt>
                <c:pt idx="25">
                  <c:v>1.5514698317821132</c:v>
                </c:pt>
                <c:pt idx="26">
                  <c:v>1.5259474800512618</c:v>
                </c:pt>
                <c:pt idx="27">
                  <c:v>1.4973804248587077</c:v>
                </c:pt>
                <c:pt idx="28">
                  <c:v>1.4657686662044509</c:v>
                </c:pt>
                <c:pt idx="29">
                  <c:v>1.4311122040884914</c:v>
                </c:pt>
                <c:pt idx="30">
                  <c:v>1.3934110385108285</c:v>
                </c:pt>
                <c:pt idx="31">
                  <c:v>1.3526651694714633</c:v>
                </c:pt>
                <c:pt idx="32">
                  <c:v>1.3088745969703957</c:v>
                </c:pt>
                <c:pt idx="33">
                  <c:v>1.2620393210076248</c:v>
                </c:pt>
                <c:pt idx="34">
                  <c:v>1.2121593415831513</c:v>
                </c:pt>
                <c:pt idx="35">
                  <c:v>1.1592346586969748</c:v>
                </c:pt>
                <c:pt idx="36">
                  <c:v>1.1032652723490959</c:v>
                </c:pt>
                <c:pt idx="37">
                  <c:v>1.0442511825395142</c:v>
                </c:pt>
                <c:pt idx="38">
                  <c:v>0.9821923892682296</c:v>
                </c:pt>
                <c:pt idx="39">
                  <c:v>0.91708889253524273</c:v>
                </c:pt>
                <c:pt idx="40">
                  <c:v>0.84894069234055181</c:v>
                </c:pt>
                <c:pt idx="41">
                  <c:v>0.7777477886841595</c:v>
                </c:pt>
                <c:pt idx="42">
                  <c:v>0.70351018156606449</c:v>
                </c:pt>
                <c:pt idx="43">
                  <c:v>0.62622787098626587</c:v>
                </c:pt>
                <c:pt idx="44">
                  <c:v>0.54590085694476453</c:v>
                </c:pt>
                <c:pt idx="45">
                  <c:v>0.46252913944156049</c:v>
                </c:pt>
                <c:pt idx="46">
                  <c:v>0.37611271847665417</c:v>
                </c:pt>
                <c:pt idx="47">
                  <c:v>0.28665159405004426</c:v>
                </c:pt>
                <c:pt idx="48">
                  <c:v>0.19414576616173251</c:v>
                </c:pt>
                <c:pt idx="49">
                  <c:v>9.8595234811716725E-2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9-4053-8243-EA408E6D0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de-DE"/>
                  <a:t>Horizontale Position x (m)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de-DE"/>
          </a:p>
        </c:txPr>
        <c:crossAx val="48672768"/>
        <c:crosses val="autoZero"/>
        <c:auto val="1"/>
        <c:lblAlgn val="ctr"/>
        <c:lblOffset val="100"/>
        <c:tickLblSkip val="5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de-DE"/>
                  <a:t>Höhe y (m)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de-DE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sz="900">
                <a:latin typeface="Arial"/>
                <a:ea typeface="Arial"/>
                <a:cs typeface="Arial"/>
              </a:rPr>
              <a:t>Kugelstoß: Flugbahn im Messsystem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Höhe y (m)</c:v>
          </c:tx>
          <c:spPr>
            <a:ln w="19050">
              <a:solidFill>
                <a:srgbClr val="2B5D87"/>
              </a:solidFill>
              <a:prstDash val="solid"/>
            </a:ln>
          </c:spPr>
          <c:marker>
            <c:symbol val="none"/>
          </c:marker>
          <c:cat>
            <c:numRef>
              <c:f>Kugelstoß!$Q$3:$Q$53</c:f>
              <c:numCache>
                <c:formatCode>0.000</c:formatCode>
                <c:ptCount val="51"/>
                <c:pt idx="0">
                  <c:v>-0.25</c:v>
                </c:pt>
                <c:pt idx="1">
                  <c:v>-0.09</c:v>
                </c:pt>
                <c:pt idx="2">
                  <c:v>0.08</c:v>
                </c:pt>
                <c:pt idx="3">
                  <c:v>0.24</c:v>
                </c:pt>
                <c:pt idx="4">
                  <c:v>0.41</c:v>
                </c:pt>
                <c:pt idx="5">
                  <c:v>0.56999999999999995</c:v>
                </c:pt>
                <c:pt idx="6">
                  <c:v>0.73</c:v>
                </c:pt>
                <c:pt idx="7">
                  <c:v>0.9</c:v>
                </c:pt>
                <c:pt idx="8">
                  <c:v>1.06</c:v>
                </c:pt>
                <c:pt idx="9">
                  <c:v>1.23</c:v>
                </c:pt>
                <c:pt idx="10">
                  <c:v>1.39</c:v>
                </c:pt>
                <c:pt idx="11">
                  <c:v>1.55</c:v>
                </c:pt>
                <c:pt idx="12">
                  <c:v>1.72</c:v>
                </c:pt>
                <c:pt idx="13">
                  <c:v>1.88</c:v>
                </c:pt>
                <c:pt idx="14">
                  <c:v>2.0499999999999998</c:v>
                </c:pt>
                <c:pt idx="15">
                  <c:v>2.21</c:v>
                </c:pt>
                <c:pt idx="16">
                  <c:v>2.37</c:v>
                </c:pt>
                <c:pt idx="17">
                  <c:v>2.54</c:v>
                </c:pt>
                <c:pt idx="18">
                  <c:v>2.7</c:v>
                </c:pt>
                <c:pt idx="19">
                  <c:v>2.87</c:v>
                </c:pt>
                <c:pt idx="20">
                  <c:v>3.03</c:v>
                </c:pt>
                <c:pt idx="21">
                  <c:v>3.19</c:v>
                </c:pt>
                <c:pt idx="22">
                  <c:v>3.36</c:v>
                </c:pt>
                <c:pt idx="23">
                  <c:v>3.52</c:v>
                </c:pt>
                <c:pt idx="24">
                  <c:v>3.69</c:v>
                </c:pt>
                <c:pt idx="25">
                  <c:v>3.85</c:v>
                </c:pt>
                <c:pt idx="26">
                  <c:v>4.01</c:v>
                </c:pt>
                <c:pt idx="27">
                  <c:v>4.18</c:v>
                </c:pt>
                <c:pt idx="28">
                  <c:v>4.34</c:v>
                </c:pt>
                <c:pt idx="29">
                  <c:v>4.51</c:v>
                </c:pt>
                <c:pt idx="30">
                  <c:v>4.67</c:v>
                </c:pt>
                <c:pt idx="31">
                  <c:v>4.83</c:v>
                </c:pt>
                <c:pt idx="32">
                  <c:v>5</c:v>
                </c:pt>
                <c:pt idx="33">
                  <c:v>5.16</c:v>
                </c:pt>
                <c:pt idx="34">
                  <c:v>5.33</c:v>
                </c:pt>
                <c:pt idx="35">
                  <c:v>5.49</c:v>
                </c:pt>
                <c:pt idx="36">
                  <c:v>5.65</c:v>
                </c:pt>
                <c:pt idx="37">
                  <c:v>5.82</c:v>
                </c:pt>
                <c:pt idx="38">
                  <c:v>5.98</c:v>
                </c:pt>
                <c:pt idx="39">
                  <c:v>6.15</c:v>
                </c:pt>
                <c:pt idx="40">
                  <c:v>6.31</c:v>
                </c:pt>
                <c:pt idx="41">
                  <c:v>6.47</c:v>
                </c:pt>
                <c:pt idx="42">
                  <c:v>6.64</c:v>
                </c:pt>
                <c:pt idx="43">
                  <c:v>6.8</c:v>
                </c:pt>
                <c:pt idx="44">
                  <c:v>6.97</c:v>
                </c:pt>
                <c:pt idx="45">
                  <c:v>7.13</c:v>
                </c:pt>
                <c:pt idx="46">
                  <c:v>7.29</c:v>
                </c:pt>
                <c:pt idx="47">
                  <c:v>7.46</c:v>
                </c:pt>
                <c:pt idx="48">
                  <c:v>7.62</c:v>
                </c:pt>
                <c:pt idx="49">
                  <c:v>7.79</c:v>
                </c:pt>
                <c:pt idx="50">
                  <c:v>7.95</c:v>
                </c:pt>
              </c:numCache>
            </c:numRef>
          </c:cat>
          <c:val>
            <c:numRef>
              <c:f>Kugelstoß!$R$3:$R$53</c:f>
              <c:numCache>
                <c:formatCode>0.000</c:formatCode>
                <c:ptCount val="51"/>
                <c:pt idx="0">
                  <c:v>1.9</c:v>
                </c:pt>
                <c:pt idx="1">
                  <c:v>2.0203457426871374</c:v>
                </c:pt>
                <c:pt idx="2">
                  <c:v>2.1342283938360245</c:v>
                </c:pt>
                <c:pt idx="3">
                  <c:v>2.2416479534466611</c:v>
                </c:pt>
                <c:pt idx="4">
                  <c:v>2.3426044215190469</c:v>
                </c:pt>
                <c:pt idx="5">
                  <c:v>2.4370977980531827</c:v>
                </c:pt>
                <c:pt idx="6">
                  <c:v>2.5251280830490677</c:v>
                </c:pt>
                <c:pt idx="7">
                  <c:v>2.6066952765067022</c:v>
                </c:pt>
                <c:pt idx="8">
                  <c:v>2.6817993784260858</c:v>
                </c:pt>
                <c:pt idx="9">
                  <c:v>2.7504403888072195</c:v>
                </c:pt>
                <c:pt idx="10">
                  <c:v>2.8126183076501023</c:v>
                </c:pt>
                <c:pt idx="11">
                  <c:v>2.8683331349547352</c:v>
                </c:pt>
                <c:pt idx="12">
                  <c:v>2.9175848707211167</c:v>
                </c:pt>
                <c:pt idx="13">
                  <c:v>2.9603735149492483</c:v>
                </c:pt>
                <c:pt idx="14">
                  <c:v>2.996699067639129</c:v>
                </c:pt>
                <c:pt idx="15">
                  <c:v>3.0265615287907592</c:v>
                </c:pt>
                <c:pt idx="16">
                  <c:v>3.0499608984041391</c:v>
                </c:pt>
                <c:pt idx="17">
                  <c:v>3.0668971764792685</c:v>
                </c:pt>
                <c:pt idx="18">
                  <c:v>3.0773703630161471</c:v>
                </c:pt>
                <c:pt idx="19">
                  <c:v>3.0813804580147761</c:v>
                </c:pt>
                <c:pt idx="20">
                  <c:v>3.0789274614751534</c:v>
                </c:pt>
                <c:pt idx="21">
                  <c:v>3.0700113733972811</c:v>
                </c:pt>
                <c:pt idx="22">
                  <c:v>3.054632193781158</c:v>
                </c:pt>
                <c:pt idx="23">
                  <c:v>3.0327899226267836</c:v>
                </c:pt>
                <c:pt idx="24">
                  <c:v>3.0044845599341592</c:v>
                </c:pt>
                <c:pt idx="25">
                  <c:v>2.9697161057032848</c:v>
                </c:pt>
                <c:pt idx="26">
                  <c:v>2.9284845599341605</c:v>
                </c:pt>
                <c:pt idx="27">
                  <c:v>2.8807899226267839</c:v>
                </c:pt>
                <c:pt idx="28">
                  <c:v>2.8266321937811578</c:v>
                </c:pt>
                <c:pt idx="29">
                  <c:v>2.7660113733972804</c:v>
                </c:pt>
                <c:pt idx="30">
                  <c:v>2.6989274614751535</c:v>
                </c:pt>
                <c:pt idx="31">
                  <c:v>2.6253804580147766</c:v>
                </c:pt>
                <c:pt idx="32">
                  <c:v>2.5453703630161475</c:v>
                </c:pt>
                <c:pt idx="33">
                  <c:v>2.458897176479268</c:v>
                </c:pt>
                <c:pt idx="34">
                  <c:v>2.3659608984041394</c:v>
                </c:pt>
                <c:pt idx="35">
                  <c:v>2.2665615287907594</c:v>
                </c:pt>
                <c:pt idx="36">
                  <c:v>2.1606990676391291</c:v>
                </c:pt>
                <c:pt idx="37">
                  <c:v>2.0483735149492484</c:v>
                </c:pt>
                <c:pt idx="38">
                  <c:v>1.9295848707211167</c:v>
                </c:pt>
                <c:pt idx="39">
                  <c:v>1.8043331349547342</c:v>
                </c:pt>
                <c:pt idx="40">
                  <c:v>1.6726183076501009</c:v>
                </c:pt>
                <c:pt idx="41">
                  <c:v>1.5344403888072202</c:v>
                </c:pt>
                <c:pt idx="42">
                  <c:v>1.389799378426086</c:v>
                </c:pt>
                <c:pt idx="43">
                  <c:v>1.2386952765067019</c:v>
                </c:pt>
                <c:pt idx="44">
                  <c:v>1.0811280830490668</c:v>
                </c:pt>
                <c:pt idx="45">
                  <c:v>0.91709779805318181</c:v>
                </c:pt>
                <c:pt idx="46">
                  <c:v>0.74660442151904682</c:v>
                </c:pt>
                <c:pt idx="47">
                  <c:v>0.56964795344666097</c:v>
                </c:pt>
                <c:pt idx="48">
                  <c:v>0.38622839383602336</c:v>
                </c:pt>
                <c:pt idx="49">
                  <c:v>0.19634574268713667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31-4673-B957-D357D8C3F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Horizontale Position x (m)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de-DE"/>
          </a:p>
        </c:txPr>
        <c:crossAx val="48672768"/>
        <c:crosses val="autoZero"/>
        <c:auto val="1"/>
        <c:lblAlgn val="ctr"/>
        <c:lblOffset val="100"/>
        <c:tickLblSkip val="5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Höhe y (m)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de-DE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6B4F"/>
  </sheetPr>
  <dimension ref="A1:R53"/>
  <sheetViews>
    <sheetView showGridLines="0" tabSelected="1" workbookViewId="0">
      <selection activeCell="B11" sqref="B11"/>
    </sheetView>
  </sheetViews>
  <sheetFormatPr baseColWidth="10" defaultColWidth="9" defaultRowHeight="14.25"/>
  <cols>
    <col min="1" max="1" width="31" customWidth="1"/>
    <col min="2" max="2" width="15" customWidth="1"/>
    <col min="3" max="3" width="11" customWidth="1"/>
    <col min="4" max="4" width="36" customWidth="1"/>
    <col min="5" max="5" width="10" customWidth="1"/>
    <col min="6" max="6" width="14" customWidth="1"/>
    <col min="7" max="7" width="13" customWidth="1"/>
    <col min="8" max="8" width="14" customWidth="1"/>
    <col min="9" max="9" width="22" customWidth="1"/>
    <col min="10" max="11" width="14" customWidth="1"/>
    <col min="12" max="12" width="19" customWidth="1"/>
    <col min="13" max="13" width="14" customWidth="1"/>
    <col min="14" max="14" width="18" customWidth="1"/>
    <col min="15" max="15" width="3" customWidth="1"/>
    <col min="16" max="18" width="11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7" customHeigh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41" t="s">
        <v>1</v>
      </c>
      <c r="Q2" s="41" t="s">
        <v>2</v>
      </c>
      <c r="R2" s="41" t="s">
        <v>3</v>
      </c>
    </row>
    <row r="3" spans="1:18" ht="21.95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42">
        <v>0</v>
      </c>
      <c r="Q3" s="42">
        <f t="shared" ref="Q3:Q34" si="0">ROUND($B$10+$B$18*(P3/50*$B$22),2)</f>
        <v>0.1</v>
      </c>
      <c r="R3" s="42">
        <f t="shared" ref="R3:R34" si="1">MAX(0,$B$9+$B$19*(P3/50*$B$22)-0.5*$B$11*(P3/50*$B$22)^2)</f>
        <v>1.2</v>
      </c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42">
        <v>1</v>
      </c>
      <c r="Q4" s="42">
        <f t="shared" si="0"/>
        <v>0.21</v>
      </c>
      <c r="R4" s="42">
        <f t="shared" si="1"/>
        <v>1.2505952348117177</v>
      </c>
    </row>
    <row r="5" spans="1:18" ht="21.95" customHeight="1">
      <c r="A5" s="3" t="s">
        <v>5</v>
      </c>
      <c r="B5" s="4"/>
      <c r="C5" s="4"/>
      <c r="D5" s="5"/>
      <c r="E5" s="1"/>
      <c r="F5" s="3" t="s">
        <v>6</v>
      </c>
      <c r="G5" s="4"/>
      <c r="H5" s="4"/>
      <c r="I5" s="4"/>
      <c r="J5" s="4"/>
      <c r="K5" s="4"/>
      <c r="L5" s="4"/>
      <c r="M5" s="4"/>
      <c r="N5" s="5"/>
      <c r="O5" s="1"/>
      <c r="P5" s="42">
        <v>2</v>
      </c>
      <c r="Q5" s="42">
        <f t="shared" si="0"/>
        <v>0.32</v>
      </c>
      <c r="R5" s="42">
        <f t="shared" si="1"/>
        <v>1.2981457661617326</v>
      </c>
    </row>
    <row r="6" spans="1:18">
      <c r="A6" s="6" t="s">
        <v>7</v>
      </c>
      <c r="B6" s="7" t="s">
        <v>8</v>
      </c>
      <c r="C6" s="7" t="s">
        <v>9</v>
      </c>
      <c r="D6" s="8" t="s">
        <v>10</v>
      </c>
      <c r="E6" s="1"/>
      <c r="F6" s="31" t="s">
        <v>11</v>
      </c>
      <c r="G6" s="32"/>
      <c r="H6" s="31" t="s">
        <v>12</v>
      </c>
      <c r="I6" s="32"/>
      <c r="J6" s="31" t="s">
        <v>13</v>
      </c>
      <c r="K6" s="32"/>
      <c r="L6" s="55" t="s">
        <v>14</v>
      </c>
      <c r="M6" s="56"/>
      <c r="N6" s="57"/>
      <c r="O6" s="1"/>
      <c r="P6" s="42">
        <v>3</v>
      </c>
      <c r="Q6" s="42">
        <f t="shared" si="0"/>
        <v>0.44</v>
      </c>
      <c r="R6" s="42">
        <f t="shared" si="1"/>
        <v>1.3426515940500447</v>
      </c>
    </row>
    <row r="7" spans="1:18" ht="30" customHeight="1">
      <c r="A7" s="9" t="s">
        <v>15</v>
      </c>
      <c r="B7" s="21">
        <v>7</v>
      </c>
      <c r="C7" s="10" t="s">
        <v>16</v>
      </c>
      <c r="D7" s="18" t="s">
        <v>17</v>
      </c>
      <c r="E7" s="1"/>
      <c r="F7" s="64">
        <f>$B$24</f>
        <v>5.6883262510397596</v>
      </c>
      <c r="G7" s="65"/>
      <c r="H7" s="64">
        <f>$B$22</f>
        <v>0.88086225562224485</v>
      </c>
      <c r="I7" s="65"/>
      <c r="J7" s="64">
        <f>$B$26</f>
        <v>1.6460603242956058</v>
      </c>
      <c r="K7" s="65"/>
      <c r="L7" s="58" t="str">
        <f>IF($B$24&gt;=INDEX($M$32:$M$35,MATCH($B$12,$I$32:$I$35,0)),"Gold-Niveau (Disziplin)",IF($B$24&gt;=INDEX($L$32:$L$35,MATCH($B$12,$I$32:$I$35,0)),"Silber-Niveau (Disziplin)",IF($B$24&gt;=INDEX($K$32:$K$35,MATCH($B$12,$I$32:$I$35,0)),"Bronze-Niveau (Disziplin)","unter Bronze-Schwelle")))</f>
        <v>Gold-Niveau (Disziplin)</v>
      </c>
      <c r="M7" s="59"/>
      <c r="N7" s="60"/>
      <c r="O7" s="1"/>
      <c r="P7" s="42">
        <v>4</v>
      </c>
      <c r="Q7" s="42">
        <f t="shared" si="0"/>
        <v>0.55000000000000004</v>
      </c>
      <c r="R7" s="42">
        <f t="shared" si="1"/>
        <v>1.3841127184766542</v>
      </c>
    </row>
    <row r="8" spans="1:18" ht="30" customHeight="1">
      <c r="A8" s="12" t="s">
        <v>18</v>
      </c>
      <c r="B8" s="22">
        <v>25</v>
      </c>
      <c r="C8" s="1" t="s">
        <v>19</v>
      </c>
      <c r="D8" s="19" t="s">
        <v>20</v>
      </c>
      <c r="E8" s="1"/>
      <c r="F8" s="66"/>
      <c r="G8" s="67"/>
      <c r="H8" s="66"/>
      <c r="I8" s="67"/>
      <c r="J8" s="66"/>
      <c r="K8" s="67"/>
      <c r="L8" s="61"/>
      <c r="M8" s="62"/>
      <c r="N8" s="63"/>
      <c r="O8" s="1"/>
      <c r="P8" s="42">
        <v>5</v>
      </c>
      <c r="Q8" s="42">
        <f t="shared" si="0"/>
        <v>0.66</v>
      </c>
      <c r="R8" s="42">
        <f t="shared" si="1"/>
        <v>1.4225291394415607</v>
      </c>
    </row>
    <row r="9" spans="1:18" ht="30" customHeight="1">
      <c r="A9" s="12" t="s">
        <v>21</v>
      </c>
      <c r="B9" s="22">
        <v>1.2</v>
      </c>
      <c r="C9" s="1" t="s">
        <v>22</v>
      </c>
      <c r="D9" s="19" t="s">
        <v>23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42">
        <v>6</v>
      </c>
      <c r="Q9" s="42">
        <f t="shared" si="0"/>
        <v>0.77</v>
      </c>
      <c r="R9" s="42">
        <f t="shared" si="1"/>
        <v>1.4579008569447647</v>
      </c>
    </row>
    <row r="10" spans="1:18" ht="30" customHeight="1">
      <c r="A10" s="12" t="s">
        <v>24</v>
      </c>
      <c r="B10" s="22">
        <v>0.1</v>
      </c>
      <c r="C10" s="1" t="s">
        <v>22</v>
      </c>
      <c r="D10" s="19" t="s">
        <v>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42">
        <v>7</v>
      </c>
      <c r="Q10" s="42">
        <f t="shared" si="0"/>
        <v>0.88</v>
      </c>
      <c r="R10" s="42">
        <f t="shared" si="1"/>
        <v>1.4902278709862657</v>
      </c>
    </row>
    <row r="11" spans="1:18" ht="30" customHeight="1">
      <c r="A11" s="12" t="s">
        <v>26</v>
      </c>
      <c r="B11" s="22">
        <v>9.81</v>
      </c>
      <c r="C11" s="1" t="s">
        <v>27</v>
      </c>
      <c r="D11" s="19" t="s">
        <v>28</v>
      </c>
      <c r="E11" s="1"/>
      <c r="F11" s="3" t="s">
        <v>29</v>
      </c>
      <c r="G11" s="4"/>
      <c r="H11" s="4"/>
      <c r="I11" s="4"/>
      <c r="J11" s="4"/>
      <c r="K11" s="4"/>
      <c r="L11" s="4"/>
      <c r="M11" s="4"/>
      <c r="N11" s="5"/>
      <c r="O11" s="1"/>
      <c r="P11" s="42">
        <v>8</v>
      </c>
      <c r="Q11" s="42">
        <f t="shared" si="0"/>
        <v>0.99</v>
      </c>
      <c r="R11" s="42">
        <f t="shared" si="1"/>
        <v>1.5195101815660641</v>
      </c>
    </row>
    <row r="12" spans="1:18" ht="30" customHeight="1">
      <c r="A12" s="12" t="s">
        <v>30</v>
      </c>
      <c r="B12" s="17" t="s">
        <v>31</v>
      </c>
      <c r="C12" s="1"/>
      <c r="D12" s="19" t="s">
        <v>32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2">
        <v>9</v>
      </c>
      <c r="Q12" s="42">
        <f t="shared" si="0"/>
        <v>1.1100000000000001</v>
      </c>
      <c r="R12" s="42">
        <f t="shared" si="1"/>
        <v>1.5457477886841597</v>
      </c>
    </row>
    <row r="13" spans="1:18" ht="30" customHeight="1">
      <c r="A13" s="14" t="s">
        <v>33</v>
      </c>
      <c r="B13" s="23">
        <v>65</v>
      </c>
      <c r="C13" s="15" t="s">
        <v>34</v>
      </c>
      <c r="D13" s="20" t="s">
        <v>35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42">
        <v>10</v>
      </c>
      <c r="Q13" s="42">
        <f t="shared" si="0"/>
        <v>1.22</v>
      </c>
      <c r="R13" s="42">
        <f t="shared" si="1"/>
        <v>1.5689406923405527</v>
      </c>
    </row>
    <row r="14" spans="1: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42">
        <v>11</v>
      </c>
      <c r="Q14" s="42">
        <f t="shared" si="0"/>
        <v>1.33</v>
      </c>
      <c r="R14" s="42">
        <f t="shared" si="1"/>
        <v>1.5890888925352424</v>
      </c>
    </row>
    <row r="15" spans="1:18" ht="21.95" customHeight="1">
      <c r="A15" s="3" t="s">
        <v>36</v>
      </c>
      <c r="B15" s="4"/>
      <c r="C15" s="4"/>
      <c r="D15" s="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42">
        <v>12</v>
      </c>
      <c r="Q15" s="42">
        <f t="shared" si="0"/>
        <v>1.44</v>
      </c>
      <c r="R15" s="42">
        <f t="shared" si="1"/>
        <v>1.6061923892682299</v>
      </c>
    </row>
    <row r="16" spans="1:18">
      <c r="A16" s="6" t="s">
        <v>37</v>
      </c>
      <c r="B16" s="7" t="s">
        <v>38</v>
      </c>
      <c r="C16" s="7" t="s">
        <v>9</v>
      </c>
      <c r="D16" s="8" t="s">
        <v>39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42">
        <v>13</v>
      </c>
      <c r="Q16" s="42">
        <f t="shared" si="0"/>
        <v>1.55</v>
      </c>
      <c r="R16" s="42">
        <f t="shared" si="1"/>
        <v>1.6202511825395143</v>
      </c>
    </row>
    <row r="17" spans="1:18" ht="21.95" customHeight="1">
      <c r="A17" s="9" t="s">
        <v>40</v>
      </c>
      <c r="B17" s="24">
        <f>RADIANS($B$8)</f>
        <v>0.43633231299858238</v>
      </c>
      <c r="C17" s="10" t="s">
        <v>41</v>
      </c>
      <c r="D17" s="11" t="s">
        <v>42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42">
        <v>14</v>
      </c>
      <c r="Q17" s="42">
        <f t="shared" si="0"/>
        <v>1.66</v>
      </c>
      <c r="R17" s="42">
        <f t="shared" si="1"/>
        <v>1.6312652723490961</v>
      </c>
    </row>
    <row r="18" spans="1:18" ht="21.95" customHeight="1">
      <c r="A18" s="12" t="s">
        <v>43</v>
      </c>
      <c r="B18" s="25">
        <f>$B$7*COS($B$17)</f>
        <v>6.3441545092565494</v>
      </c>
      <c r="C18" s="1" t="s">
        <v>16</v>
      </c>
      <c r="D18" s="13" t="s">
        <v>44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42">
        <v>15</v>
      </c>
      <c r="Q18" s="42">
        <f t="shared" si="0"/>
        <v>1.78</v>
      </c>
      <c r="R18" s="42">
        <f t="shared" si="1"/>
        <v>1.6392346586969753</v>
      </c>
    </row>
    <row r="19" spans="1:18" ht="21.95" customHeight="1">
      <c r="A19" s="12" t="s">
        <v>45</v>
      </c>
      <c r="B19" s="25">
        <f>$B$7*SIN($B$17)</f>
        <v>2.9583278321848963</v>
      </c>
      <c r="C19" s="1" t="s">
        <v>16</v>
      </c>
      <c r="D19" s="13" t="s">
        <v>46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42">
        <v>16</v>
      </c>
      <c r="Q19" s="42">
        <f t="shared" si="0"/>
        <v>1.89</v>
      </c>
      <c r="R19" s="42">
        <f t="shared" si="1"/>
        <v>1.6441593415831517</v>
      </c>
    </row>
    <row r="20" spans="1:18" ht="21.95" customHeight="1">
      <c r="A20" s="12" t="s">
        <v>47</v>
      </c>
      <c r="B20" s="25">
        <f>$B$19^2+2*$B$11*$B$9</f>
        <v>32.29570356267979</v>
      </c>
      <c r="C20" s="1" t="s">
        <v>48</v>
      </c>
      <c r="D20" s="13" t="s">
        <v>49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42">
        <v>17</v>
      </c>
      <c r="Q20" s="42">
        <f t="shared" si="0"/>
        <v>2</v>
      </c>
      <c r="R20" s="42">
        <f t="shared" si="1"/>
        <v>1.6460393210076245</v>
      </c>
    </row>
    <row r="21" spans="1:18" ht="21.95" customHeight="1">
      <c r="A21" s="12" t="s">
        <v>50</v>
      </c>
      <c r="B21" s="25">
        <f>SQRT($B$20)</f>
        <v>5.6829308954693252</v>
      </c>
      <c r="C21" s="1" t="s">
        <v>16</v>
      </c>
      <c r="D21" s="13" t="s">
        <v>51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42">
        <v>18</v>
      </c>
      <c r="Q21" s="42">
        <f t="shared" si="0"/>
        <v>2.11</v>
      </c>
      <c r="R21" s="42">
        <f t="shared" si="1"/>
        <v>1.6448745969703955</v>
      </c>
    </row>
    <row r="22" spans="1:18" ht="21.95" customHeight="1">
      <c r="A22" s="12" t="s">
        <v>52</v>
      </c>
      <c r="B22" s="25">
        <f>($B$19+$B$21)/$B$11</f>
        <v>0.88086225562224485</v>
      </c>
      <c r="C22" s="1" t="s">
        <v>53</v>
      </c>
      <c r="D22" s="13" t="s">
        <v>54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42">
        <v>19</v>
      </c>
      <c r="Q22" s="42">
        <f t="shared" si="0"/>
        <v>2.2200000000000002</v>
      </c>
      <c r="R22" s="42">
        <f t="shared" si="1"/>
        <v>1.6406651694714636</v>
      </c>
    </row>
    <row r="23" spans="1:18" ht="21.95" customHeight="1">
      <c r="A23" s="12" t="s">
        <v>55</v>
      </c>
      <c r="B23" s="25">
        <f>$B$18*$B$22</f>
        <v>5.58832625103976</v>
      </c>
      <c r="C23" s="1" t="s">
        <v>22</v>
      </c>
      <c r="D23" s="13" t="s">
        <v>56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42">
        <v>20</v>
      </c>
      <c r="Q23" s="42">
        <f t="shared" si="0"/>
        <v>2.34</v>
      </c>
      <c r="R23" s="42">
        <f t="shared" si="1"/>
        <v>1.6334110385108287</v>
      </c>
    </row>
    <row r="24" spans="1:18" ht="21.95" customHeight="1">
      <c r="A24" s="27" t="s">
        <v>57</v>
      </c>
      <c r="B24" s="28">
        <f>$B$23+$B$10</f>
        <v>5.6883262510397596</v>
      </c>
      <c r="C24" s="29" t="s">
        <v>22</v>
      </c>
      <c r="D24" s="30" t="s">
        <v>58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42">
        <v>21</v>
      </c>
      <c r="Q24" s="42">
        <f t="shared" si="0"/>
        <v>2.4500000000000002</v>
      </c>
      <c r="R24" s="42">
        <f t="shared" si="1"/>
        <v>1.6231122040884913</v>
      </c>
    </row>
    <row r="25" spans="1:18" ht="21.95" customHeight="1">
      <c r="A25" s="12" t="s">
        <v>59</v>
      </c>
      <c r="B25" s="25">
        <f>$B$19/$B$11</f>
        <v>0.30156247015136556</v>
      </c>
      <c r="C25" s="1" t="s">
        <v>53</v>
      </c>
      <c r="D25" s="13" t="s">
        <v>60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2">
        <v>22</v>
      </c>
      <c r="Q25" s="42">
        <f t="shared" si="0"/>
        <v>2.56</v>
      </c>
      <c r="R25" s="42">
        <f t="shared" si="1"/>
        <v>1.609768666204451</v>
      </c>
    </row>
    <row r="26" spans="1:18" ht="21.95" customHeight="1">
      <c r="A26" s="12" t="s">
        <v>61</v>
      </c>
      <c r="B26" s="25">
        <f>$B$9+$B$19^2/(2*$B$11)</f>
        <v>1.6460603242956058</v>
      </c>
      <c r="C26" s="1" t="s">
        <v>22</v>
      </c>
      <c r="D26" s="13" t="s">
        <v>62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2">
        <v>23</v>
      </c>
      <c r="Q26" s="42">
        <f t="shared" si="0"/>
        <v>2.67</v>
      </c>
      <c r="R26" s="42">
        <f t="shared" si="1"/>
        <v>1.593380424858708</v>
      </c>
    </row>
    <row r="27" spans="1:18" ht="21.95" customHeight="1">
      <c r="A27" s="14" t="s">
        <v>63</v>
      </c>
      <c r="B27" s="26">
        <f>$B$10+$B$18*$B$25</f>
        <v>2.0131589048333294</v>
      </c>
      <c r="C27" s="15" t="s">
        <v>22</v>
      </c>
      <c r="D27" s="16" t="s">
        <v>64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2">
        <v>24</v>
      </c>
      <c r="Q27" s="42">
        <f t="shared" si="0"/>
        <v>2.78</v>
      </c>
      <c r="R27" s="42">
        <f t="shared" si="1"/>
        <v>1.5739474800512623</v>
      </c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2">
        <v>25</v>
      </c>
      <c r="Q28" s="42">
        <f t="shared" si="0"/>
        <v>2.89</v>
      </c>
      <c r="R28" s="42">
        <f t="shared" si="1"/>
        <v>1.5514698317821132</v>
      </c>
    </row>
    <row r="29" spans="1:18" ht="21.95" customHeight="1">
      <c r="A29" s="3" t="s">
        <v>65</v>
      </c>
      <c r="B29" s="4"/>
      <c r="C29" s="4"/>
      <c r="D29" s="4"/>
      <c r="E29" s="4"/>
      <c r="F29" s="4"/>
      <c r="G29" s="5"/>
      <c r="H29" s="1"/>
      <c r="I29" s="3" t="s">
        <v>66</v>
      </c>
      <c r="J29" s="4"/>
      <c r="K29" s="4"/>
      <c r="L29" s="4"/>
      <c r="M29" s="4"/>
      <c r="N29" s="5"/>
      <c r="O29" s="1"/>
      <c r="P29" s="42">
        <v>26</v>
      </c>
      <c r="Q29" s="42">
        <f t="shared" si="0"/>
        <v>3.01</v>
      </c>
      <c r="R29" s="42">
        <f t="shared" si="1"/>
        <v>1.5259474800512618</v>
      </c>
    </row>
    <row r="30" spans="1:18">
      <c r="A30" s="33" t="s">
        <v>67</v>
      </c>
      <c r="B30" s="33" t="s">
        <v>68</v>
      </c>
      <c r="C30" s="33" t="s">
        <v>69</v>
      </c>
      <c r="D30" s="33" t="s">
        <v>70</v>
      </c>
      <c r="E30" s="33" t="s">
        <v>71</v>
      </c>
      <c r="F30" s="33" t="s">
        <v>11</v>
      </c>
      <c r="G30" s="33" t="s">
        <v>72</v>
      </c>
      <c r="H30" s="1"/>
      <c r="I30" s="38" t="s">
        <v>73</v>
      </c>
      <c r="J30" s="38"/>
      <c r="K30" s="38"/>
      <c r="L30" s="38"/>
      <c r="M30" s="38"/>
      <c r="N30" s="38"/>
      <c r="O30" s="1"/>
      <c r="P30" s="42">
        <v>27</v>
      </c>
      <c r="Q30" s="42">
        <f t="shared" si="0"/>
        <v>3.12</v>
      </c>
      <c r="R30" s="42">
        <f t="shared" si="1"/>
        <v>1.4973804248587077</v>
      </c>
    </row>
    <row r="31" spans="1:18">
      <c r="A31" s="36" t="s">
        <v>74</v>
      </c>
      <c r="B31" s="37">
        <f t="shared" ref="B31:B36" si="2">$B$7</f>
        <v>7</v>
      </c>
      <c r="C31" s="37">
        <f>$B$8</f>
        <v>25</v>
      </c>
      <c r="D31" s="37">
        <f>$B$9</f>
        <v>1.2</v>
      </c>
      <c r="E31" s="37">
        <f>$B$10</f>
        <v>0.1</v>
      </c>
      <c r="F31" s="37">
        <f t="shared" ref="F31:F38" si="3">B31*COS(RADIANS(C31))/$B$11*(B31*SIN(RADIANS(C31))+SQRT((B31*SIN(RADIANS(C31)))^2+2*$B$11*D31))+E31</f>
        <v>5.6883262510397596</v>
      </c>
      <c r="G31" s="37">
        <f t="shared" ref="G31:G38" si="4">F31-$B$24</f>
        <v>0</v>
      </c>
      <c r="H31" s="1"/>
      <c r="I31" s="33" t="s">
        <v>75</v>
      </c>
      <c r="J31" s="33" t="s">
        <v>76</v>
      </c>
      <c r="K31" s="33" t="s">
        <v>77</v>
      </c>
      <c r="L31" s="33" t="s">
        <v>78</v>
      </c>
      <c r="M31" s="33" t="s">
        <v>79</v>
      </c>
      <c r="N31" s="33" t="s">
        <v>80</v>
      </c>
      <c r="O31" s="1"/>
      <c r="P31" s="42">
        <v>28</v>
      </c>
      <c r="Q31" s="42">
        <f t="shared" si="0"/>
        <v>3.23</v>
      </c>
      <c r="R31" s="42">
        <f t="shared" si="1"/>
        <v>1.4657686662044509</v>
      </c>
    </row>
    <row r="32" spans="1:18">
      <c r="A32" s="34" t="s">
        <v>81</v>
      </c>
      <c r="B32" s="35">
        <f t="shared" si="2"/>
        <v>7</v>
      </c>
      <c r="C32" s="35">
        <f>$B$8</f>
        <v>25</v>
      </c>
      <c r="D32" s="35">
        <f>0</f>
        <v>0</v>
      </c>
      <c r="E32" s="35">
        <f>$B$10</f>
        <v>0.1</v>
      </c>
      <c r="F32" s="35">
        <f t="shared" si="3"/>
        <v>3.9263178096666591</v>
      </c>
      <c r="G32" s="35">
        <f t="shared" si="4"/>
        <v>-1.7620084413731005</v>
      </c>
      <c r="H32" s="1"/>
      <c r="I32" s="34" t="s">
        <v>82</v>
      </c>
      <c r="J32" s="35"/>
      <c r="K32" s="35">
        <v>3.2</v>
      </c>
      <c r="L32" s="35">
        <v>3.5</v>
      </c>
      <c r="M32" s="35">
        <v>3.8</v>
      </c>
      <c r="N32" s="34" t="s">
        <v>83</v>
      </c>
      <c r="O32" s="1"/>
      <c r="P32" s="42">
        <v>29</v>
      </c>
      <c r="Q32" s="42">
        <f t="shared" si="0"/>
        <v>3.34</v>
      </c>
      <c r="R32" s="42">
        <f t="shared" si="1"/>
        <v>1.4311122040884914</v>
      </c>
    </row>
    <row r="33" spans="1:18">
      <c r="A33" s="34" t="s">
        <v>84</v>
      </c>
      <c r="B33" s="35">
        <f t="shared" si="2"/>
        <v>7</v>
      </c>
      <c r="C33" s="35">
        <f>$B$8</f>
        <v>25</v>
      </c>
      <c r="D33" s="35">
        <f>$B$9</f>
        <v>1.2</v>
      </c>
      <c r="E33" s="35">
        <f>0</f>
        <v>0</v>
      </c>
      <c r="F33" s="35">
        <f t="shared" si="3"/>
        <v>5.58832625103976</v>
      </c>
      <c r="G33" s="35">
        <f t="shared" si="4"/>
        <v>-9.9999999999999645E-2</v>
      </c>
      <c r="H33" s="1"/>
      <c r="I33" s="34" t="s">
        <v>85</v>
      </c>
      <c r="J33" s="35"/>
      <c r="K33" s="35">
        <v>3.4</v>
      </c>
      <c r="L33" s="35">
        <v>3.7</v>
      </c>
      <c r="M33" s="35">
        <v>4</v>
      </c>
      <c r="N33" s="34" t="s">
        <v>83</v>
      </c>
      <c r="O33" s="1"/>
      <c r="P33" s="42">
        <v>30</v>
      </c>
      <c r="Q33" s="42">
        <f t="shared" si="0"/>
        <v>3.45</v>
      </c>
      <c r="R33" s="42">
        <f t="shared" si="1"/>
        <v>1.3934110385108285</v>
      </c>
    </row>
    <row r="34" spans="1:18">
      <c r="A34" s="34" t="s">
        <v>86</v>
      </c>
      <c r="B34" s="35">
        <f t="shared" si="2"/>
        <v>7</v>
      </c>
      <c r="C34" s="35">
        <f>$B$8</f>
        <v>25</v>
      </c>
      <c r="D34" s="35">
        <f>0</f>
        <v>0</v>
      </c>
      <c r="E34" s="35">
        <f>0</f>
        <v>0</v>
      </c>
      <c r="F34" s="35">
        <f t="shared" si="3"/>
        <v>3.826317809666659</v>
      </c>
      <c r="G34" s="35">
        <f t="shared" si="4"/>
        <v>-1.8620084413731006</v>
      </c>
      <c r="H34" s="1"/>
      <c r="I34" s="34" t="s">
        <v>31</v>
      </c>
      <c r="J34" s="35"/>
      <c r="K34" s="35">
        <v>3.8</v>
      </c>
      <c r="L34" s="35">
        <v>4.0999999999999996</v>
      </c>
      <c r="M34" s="35">
        <v>4.4000000000000004</v>
      </c>
      <c r="N34" s="34" t="s">
        <v>83</v>
      </c>
      <c r="O34" s="1"/>
      <c r="P34" s="42">
        <v>31</v>
      </c>
      <c r="Q34" s="42">
        <f t="shared" si="0"/>
        <v>3.56</v>
      </c>
      <c r="R34" s="42">
        <f t="shared" si="1"/>
        <v>1.3526651694714633</v>
      </c>
    </row>
    <row r="35" spans="1:18">
      <c r="A35" s="34" t="s">
        <v>87</v>
      </c>
      <c r="B35" s="35">
        <f t="shared" si="2"/>
        <v>7</v>
      </c>
      <c r="C35" s="35">
        <f>MAX(0,$B$8-5)</f>
        <v>20</v>
      </c>
      <c r="D35" s="35">
        <f>$B$9</f>
        <v>1.2</v>
      </c>
      <c r="E35" s="35">
        <f>$B$10</f>
        <v>0.1</v>
      </c>
      <c r="F35" s="35">
        <f t="shared" si="3"/>
        <v>5.3333541622054312</v>
      </c>
      <c r="G35" s="35">
        <f t="shared" si="4"/>
        <v>-0.3549720888343284</v>
      </c>
      <c r="H35" s="1"/>
      <c r="I35" s="34" t="s">
        <v>88</v>
      </c>
      <c r="J35" s="35"/>
      <c r="K35" s="35">
        <v>4.3</v>
      </c>
      <c r="L35" s="35">
        <v>4.5999999999999996</v>
      </c>
      <c r="M35" s="35">
        <v>4.9000000000000004</v>
      </c>
      <c r="N35" s="34" t="s">
        <v>83</v>
      </c>
      <c r="O35" s="1"/>
      <c r="P35" s="42">
        <v>32</v>
      </c>
      <c r="Q35" s="42">
        <f t="shared" ref="Q35:Q66" si="5">ROUND($B$10+$B$18*(P35/50*$B$22),2)</f>
        <v>3.68</v>
      </c>
      <c r="R35" s="42">
        <f t="shared" ref="R35:R53" si="6">MAX(0,$B$9+$B$19*(P35/50*$B$22)-0.5*$B$11*(P35/50*$B$22)^2)</f>
        <v>1.3088745969703957</v>
      </c>
    </row>
    <row r="36" spans="1:18">
      <c r="A36" s="34" t="s">
        <v>89</v>
      </c>
      <c r="B36" s="35">
        <f t="shared" si="2"/>
        <v>7</v>
      </c>
      <c r="C36" s="35">
        <f>MIN(89,$B$8+5)</f>
        <v>30</v>
      </c>
      <c r="D36" s="35">
        <f>$B$9</f>
        <v>1.2</v>
      </c>
      <c r="E36" s="35">
        <f>$B$10</f>
        <v>0.1</v>
      </c>
      <c r="F36" s="35">
        <f t="shared" si="3"/>
        <v>5.9599870197748706</v>
      </c>
      <c r="G36" s="35">
        <f t="shared" si="4"/>
        <v>0.27166076873511091</v>
      </c>
      <c r="H36" s="1"/>
      <c r="I36" s="1"/>
      <c r="J36" s="1"/>
      <c r="K36" s="1"/>
      <c r="L36" s="1"/>
      <c r="M36" s="1"/>
      <c r="N36" s="1"/>
      <c r="O36" s="1"/>
      <c r="P36" s="42">
        <v>33</v>
      </c>
      <c r="Q36" s="42">
        <f t="shared" si="5"/>
        <v>3.79</v>
      </c>
      <c r="R36" s="42">
        <f t="shared" si="6"/>
        <v>1.2620393210076248</v>
      </c>
    </row>
    <row r="37" spans="1:18">
      <c r="A37" s="34" t="s">
        <v>90</v>
      </c>
      <c r="B37" s="35">
        <f>MAX(0,$B$7-1)</f>
        <v>6</v>
      </c>
      <c r="C37" s="35">
        <f>$B$8</f>
        <v>25</v>
      </c>
      <c r="D37" s="35">
        <f>$B$9</f>
        <v>1.2</v>
      </c>
      <c r="E37" s="35">
        <f>$B$10</f>
        <v>0.1</v>
      </c>
      <c r="F37" s="35">
        <f t="shared" si="3"/>
        <v>4.5403787863154585</v>
      </c>
      <c r="G37" s="35">
        <f t="shared" si="4"/>
        <v>-1.1479474647243011</v>
      </c>
      <c r="H37" s="1"/>
      <c r="I37" s="1"/>
      <c r="J37" s="1"/>
      <c r="K37" s="1"/>
      <c r="L37" s="1"/>
      <c r="M37" s="1"/>
      <c r="N37" s="1"/>
      <c r="O37" s="1"/>
      <c r="P37" s="42">
        <v>34</v>
      </c>
      <c r="Q37" s="42">
        <f t="shared" si="5"/>
        <v>3.9</v>
      </c>
      <c r="R37" s="42">
        <f t="shared" si="6"/>
        <v>1.2121593415831513</v>
      </c>
    </row>
    <row r="38" spans="1:18">
      <c r="A38" s="34" t="s">
        <v>91</v>
      </c>
      <c r="B38" s="35">
        <f>$B$7+1</f>
        <v>8</v>
      </c>
      <c r="C38" s="35">
        <f>$B$8</f>
        <v>25</v>
      </c>
      <c r="D38" s="35">
        <f>$B$9</f>
        <v>1.2</v>
      </c>
      <c r="E38" s="35">
        <f>$B$10</f>
        <v>0.1</v>
      </c>
      <c r="F38" s="35">
        <f t="shared" si="3"/>
        <v>6.9697542002094011</v>
      </c>
      <c r="G38" s="35">
        <f t="shared" si="4"/>
        <v>1.2814279491696414</v>
      </c>
      <c r="H38" s="1"/>
      <c r="I38" s="33" t="s">
        <v>92</v>
      </c>
      <c r="J38" s="33" t="s">
        <v>76</v>
      </c>
      <c r="K38" s="33" t="s">
        <v>93</v>
      </c>
      <c r="L38" s="33" t="s">
        <v>94</v>
      </c>
      <c r="M38" s="33" t="s">
        <v>95</v>
      </c>
      <c r="N38" s="33" t="s">
        <v>80</v>
      </c>
      <c r="O38" s="1"/>
      <c r="P38" s="42">
        <v>35</v>
      </c>
      <c r="Q38" s="42">
        <f t="shared" si="5"/>
        <v>4.01</v>
      </c>
      <c r="R38" s="42">
        <f t="shared" si="6"/>
        <v>1.1592346586969748</v>
      </c>
    </row>
    <row r="39" spans="1:18">
      <c r="A39" s="1"/>
      <c r="B39" s="1"/>
      <c r="C39" s="1"/>
      <c r="D39" s="1"/>
      <c r="E39" s="1"/>
      <c r="F39" s="1"/>
      <c r="G39" s="1"/>
      <c r="H39" s="1"/>
      <c r="I39" s="34" t="s">
        <v>96</v>
      </c>
      <c r="J39" s="35"/>
      <c r="K39" s="35">
        <v>7.52</v>
      </c>
      <c r="L39" s="34" t="s">
        <v>97</v>
      </c>
      <c r="M39" s="34">
        <v>1988</v>
      </c>
      <c r="N39" s="34" t="s">
        <v>98</v>
      </c>
      <c r="O39" s="1"/>
      <c r="P39" s="42">
        <v>36</v>
      </c>
      <c r="Q39" s="42">
        <f t="shared" si="5"/>
        <v>4.12</v>
      </c>
      <c r="R39" s="42">
        <f t="shared" si="6"/>
        <v>1.1032652723490959</v>
      </c>
    </row>
    <row r="40" spans="1:18" ht="21.95" customHeight="1">
      <c r="A40" s="3" t="s">
        <v>99</v>
      </c>
      <c r="B40" s="4"/>
      <c r="C40" s="4"/>
      <c r="D40" s="4"/>
      <c r="E40" s="4"/>
      <c r="F40" s="4"/>
      <c r="G40" s="5"/>
      <c r="H40" s="1"/>
      <c r="I40" s="34" t="s">
        <v>100</v>
      </c>
      <c r="J40" s="35"/>
      <c r="K40" s="35">
        <v>8.9499999999999993</v>
      </c>
      <c r="L40" s="34" t="s">
        <v>101</v>
      </c>
      <c r="M40" s="34">
        <v>1991</v>
      </c>
      <c r="N40" s="34" t="s">
        <v>98</v>
      </c>
      <c r="O40" s="1"/>
      <c r="P40" s="42">
        <v>37</v>
      </c>
      <c r="Q40" s="42">
        <f t="shared" si="5"/>
        <v>4.24</v>
      </c>
      <c r="R40" s="42">
        <f t="shared" si="6"/>
        <v>1.0442511825395142</v>
      </c>
    </row>
    <row r="41" spans="1:18" ht="27" customHeight="1">
      <c r="A41" s="75" t="s">
        <v>102</v>
      </c>
      <c r="B41" s="76"/>
      <c r="C41" s="76"/>
      <c r="D41" s="76"/>
      <c r="E41" s="76"/>
      <c r="F41" s="76"/>
      <c r="G41" s="77"/>
      <c r="H41" s="1"/>
      <c r="I41" s="1"/>
      <c r="J41" s="1"/>
      <c r="K41" s="1"/>
      <c r="L41" s="1"/>
      <c r="M41" s="1"/>
      <c r="N41" s="1"/>
      <c r="O41" s="1"/>
      <c r="P41" s="42">
        <v>38</v>
      </c>
      <c r="Q41" s="42">
        <f t="shared" si="5"/>
        <v>4.3499999999999996</v>
      </c>
      <c r="R41" s="42">
        <f t="shared" si="6"/>
        <v>0.9821923892682296</v>
      </c>
    </row>
    <row r="42" spans="1:18" ht="27" customHeight="1">
      <c r="A42" s="78"/>
      <c r="B42" s="79"/>
      <c r="C42" s="79"/>
      <c r="D42" s="79"/>
      <c r="E42" s="79"/>
      <c r="F42" s="79"/>
      <c r="G42" s="80"/>
      <c r="H42" s="1"/>
      <c r="I42" s="68" t="s">
        <v>103</v>
      </c>
      <c r="J42" s="69"/>
      <c r="K42" s="69"/>
      <c r="L42" s="69"/>
      <c r="M42" s="69"/>
      <c r="N42" s="70"/>
      <c r="O42" s="1"/>
      <c r="P42" s="42">
        <v>39</v>
      </c>
      <c r="Q42" s="42">
        <f t="shared" si="5"/>
        <v>4.46</v>
      </c>
      <c r="R42" s="42">
        <f t="shared" si="6"/>
        <v>0.91708889253524273</v>
      </c>
    </row>
    <row r="43" spans="1:18" ht="24.95" customHeight="1">
      <c r="A43" s="81" t="s">
        <v>104</v>
      </c>
      <c r="B43" s="82"/>
      <c r="C43" s="82"/>
      <c r="D43" s="82"/>
      <c r="E43" s="82"/>
      <c r="F43" s="82"/>
      <c r="G43" s="83"/>
      <c r="H43" s="1"/>
      <c r="I43" s="71"/>
      <c r="J43" s="72"/>
      <c r="K43" s="72"/>
      <c r="L43" s="72"/>
      <c r="M43" s="72"/>
      <c r="N43" s="73"/>
      <c r="O43" s="1"/>
      <c r="P43" s="42">
        <v>40</v>
      </c>
      <c r="Q43" s="42">
        <f t="shared" si="5"/>
        <v>4.57</v>
      </c>
      <c r="R43" s="42">
        <f t="shared" si="6"/>
        <v>0.84894069234055181</v>
      </c>
    </row>
    <row r="44" spans="1:18" ht="24.95" customHeight="1">
      <c r="A44" s="84" t="s">
        <v>105</v>
      </c>
      <c r="B44" s="85"/>
      <c r="C44" s="85"/>
      <c r="D44" s="85"/>
      <c r="E44" s="85"/>
      <c r="F44" s="85"/>
      <c r="G44" s="86"/>
      <c r="H44" s="1"/>
      <c r="I44" s="1"/>
      <c r="J44" s="1"/>
      <c r="K44" s="1"/>
      <c r="L44" s="1"/>
      <c r="M44" s="1"/>
      <c r="N44" s="1"/>
      <c r="O44" s="1"/>
      <c r="P44" s="42">
        <v>41</v>
      </c>
      <c r="Q44" s="42">
        <f t="shared" si="5"/>
        <v>4.68</v>
      </c>
      <c r="R44" s="42">
        <f t="shared" si="6"/>
        <v>0.7777477886841595</v>
      </c>
    </row>
    <row r="45" spans="1:18" ht="24.95" customHeight="1">
      <c r="A45" s="87"/>
      <c r="B45" s="88"/>
      <c r="C45" s="88"/>
      <c r="D45" s="88"/>
      <c r="E45" s="88"/>
      <c r="F45" s="88"/>
      <c r="G45" s="89"/>
      <c r="H45" s="1"/>
      <c r="I45" s="39" t="s">
        <v>83</v>
      </c>
      <c r="J45" s="74" t="s">
        <v>106</v>
      </c>
      <c r="K45" s="74"/>
      <c r="L45" s="74"/>
      <c r="M45" s="74"/>
      <c r="N45" s="74"/>
      <c r="O45" s="1"/>
      <c r="P45" s="42">
        <v>42</v>
      </c>
      <c r="Q45" s="42">
        <f t="shared" si="5"/>
        <v>4.79</v>
      </c>
      <c r="R45" s="42">
        <f t="shared" si="6"/>
        <v>0.70351018156606449</v>
      </c>
    </row>
    <row r="46" spans="1:18" ht="24.95" customHeight="1">
      <c r="A46" s="1"/>
      <c r="B46" s="1"/>
      <c r="C46" s="1"/>
      <c r="D46" s="1"/>
      <c r="E46" s="1"/>
      <c r="F46" s="1"/>
      <c r="G46" s="1"/>
      <c r="H46" s="1"/>
      <c r="I46" s="39" t="s">
        <v>98</v>
      </c>
      <c r="J46" s="74" t="s">
        <v>107</v>
      </c>
      <c r="K46" s="74"/>
      <c r="L46" s="74"/>
      <c r="M46" s="74"/>
      <c r="N46" s="74"/>
      <c r="O46" s="1"/>
      <c r="P46" s="42">
        <v>43</v>
      </c>
      <c r="Q46" s="42">
        <f t="shared" si="5"/>
        <v>4.91</v>
      </c>
      <c r="R46" s="42">
        <f t="shared" si="6"/>
        <v>0.62622787098626587</v>
      </c>
    </row>
    <row r="47" spans="1:18" ht="24.95" customHeight="1">
      <c r="A47" s="1"/>
      <c r="B47" s="1"/>
      <c r="C47" s="1"/>
      <c r="D47" s="1"/>
      <c r="E47" s="1"/>
      <c r="F47" s="1"/>
      <c r="G47" s="1"/>
      <c r="H47" s="1"/>
      <c r="I47" s="39"/>
      <c r="J47" s="40"/>
      <c r="K47" s="40"/>
      <c r="L47" s="40"/>
      <c r="M47" s="40"/>
      <c r="N47" s="40"/>
      <c r="O47" s="1"/>
      <c r="P47" s="42">
        <v>44</v>
      </c>
      <c r="Q47" s="42">
        <f t="shared" si="5"/>
        <v>5.0199999999999996</v>
      </c>
      <c r="R47" s="42">
        <f t="shared" si="6"/>
        <v>0.54590085694476453</v>
      </c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42">
        <v>45</v>
      </c>
      <c r="Q48" s="42">
        <f t="shared" si="5"/>
        <v>5.13</v>
      </c>
      <c r="R48" s="42">
        <f t="shared" si="6"/>
        <v>0.46252913944156049</v>
      </c>
    </row>
    <row r="49" spans="1: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42">
        <v>46</v>
      </c>
      <c r="Q49" s="42">
        <f t="shared" si="5"/>
        <v>5.24</v>
      </c>
      <c r="R49" s="42">
        <f t="shared" si="6"/>
        <v>0.37611271847665417</v>
      </c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42">
        <v>47</v>
      </c>
      <c r="Q50" s="42">
        <f t="shared" si="5"/>
        <v>5.35</v>
      </c>
      <c r="R50" s="42">
        <f t="shared" si="6"/>
        <v>0.28665159405004426</v>
      </c>
    </row>
    <row r="51" spans="1: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42">
        <v>48</v>
      </c>
      <c r="Q51" s="42">
        <f t="shared" si="5"/>
        <v>5.46</v>
      </c>
      <c r="R51" s="42">
        <f t="shared" si="6"/>
        <v>0.19414576616173251</v>
      </c>
    </row>
    <row r="52" spans="1: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42">
        <v>49</v>
      </c>
      <c r="Q52" s="42">
        <f t="shared" si="5"/>
        <v>5.58</v>
      </c>
      <c r="R52" s="42">
        <f t="shared" si="6"/>
        <v>9.8595234811716725E-2</v>
      </c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42">
        <v>50</v>
      </c>
      <c r="Q53" s="42">
        <f t="shared" si="5"/>
        <v>5.69</v>
      </c>
      <c r="R53" s="42">
        <f t="shared" si="6"/>
        <v>0</v>
      </c>
    </row>
  </sheetData>
  <mergeCells count="12">
    <mergeCell ref="I42:N43"/>
    <mergeCell ref="J45:N45"/>
    <mergeCell ref="J46:N46"/>
    <mergeCell ref="A41:G42"/>
    <mergeCell ref="A43:G43"/>
    <mergeCell ref="A44:G45"/>
    <mergeCell ref="A2:N2"/>
    <mergeCell ref="L6:N6"/>
    <mergeCell ref="L7:N8"/>
    <mergeCell ref="F7:G8"/>
    <mergeCell ref="H7:I8"/>
    <mergeCell ref="J7:K8"/>
  </mergeCells>
  <conditionalFormatting sqref="G31:G38">
    <cfRule type="cellIs" dxfId="13" priority="5" operator="greaterThan">
      <formula>0</formula>
    </cfRule>
    <cfRule type="cellIs" dxfId="12" priority="6" operator="lessThan">
      <formula>0</formula>
    </cfRule>
  </conditionalFormatting>
  <conditionalFormatting sqref="I32:N35">
    <cfRule type="expression" dxfId="11" priority="7">
      <formula>$I32=$B$12</formula>
    </cfRule>
  </conditionalFormatting>
  <conditionalFormatting sqref="L7">
    <cfRule type="containsText" dxfId="10" priority="1" operator="containsText" text="Gold"/>
    <cfRule type="containsText" dxfId="9" priority="2" operator="containsText" text="Silber"/>
    <cfRule type="containsText" dxfId="8" priority="3" operator="containsText" text="Bronze"/>
    <cfRule type="containsText" dxfId="7" priority="4" operator="containsText" text="nicht"/>
  </conditionalFormatting>
  <dataValidations count="7">
    <dataValidation type="decimal" sqref="B7" xr:uid="{00000000-0002-0000-0000-000000000000}">
      <formula1>0</formula1>
      <formula2>15</formula2>
    </dataValidation>
    <dataValidation type="decimal" sqref="B8" xr:uid="{00000000-0002-0000-0000-000001000000}">
      <formula1>0</formula1>
      <formula2>89</formula2>
    </dataValidation>
    <dataValidation type="decimal" sqref="B9" xr:uid="{00000000-0002-0000-0000-000002000000}">
      <formula1>0</formula1>
      <formula2>4</formula2>
    </dataValidation>
    <dataValidation type="decimal" sqref="B10" xr:uid="{00000000-0002-0000-0000-000003000000}">
      <formula1>-5</formula1>
      <formula2>5</formula2>
    </dataValidation>
    <dataValidation type="decimal" sqref="B11" xr:uid="{00000000-0002-0000-0000-000004000000}">
      <formula1>0.1</formula1>
      <formula2>30</formula2>
    </dataValidation>
    <dataValidation type="list" sqref="B12" xr:uid="{00000000-0002-0000-0000-000005000000}">
      <formula1>"weiblich 14–15,weiblich 16–17,männlich 14–15,männlich 16–17"</formula1>
    </dataValidation>
    <dataValidation type="decimal" sqref="B13" xr:uid="{00000000-0002-0000-0000-000006000000}">
      <formula1>20</formula1>
      <formula2>150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B5D87"/>
  </sheetPr>
  <dimension ref="A1:R53"/>
  <sheetViews>
    <sheetView showGridLines="0" workbookViewId="0"/>
  </sheetViews>
  <sheetFormatPr baseColWidth="10" defaultColWidth="9" defaultRowHeight="14.25"/>
  <cols>
    <col min="1" max="1" width="31" customWidth="1"/>
    <col min="2" max="2" width="15" customWidth="1"/>
    <col min="3" max="3" width="11" customWidth="1"/>
    <col min="4" max="4" width="36" customWidth="1"/>
    <col min="5" max="5" width="10" customWidth="1"/>
    <col min="6" max="6" width="14" customWidth="1"/>
    <col min="7" max="7" width="13" customWidth="1"/>
    <col min="8" max="8" width="14" customWidth="1"/>
    <col min="9" max="9" width="22" customWidth="1"/>
    <col min="10" max="11" width="14" customWidth="1"/>
    <col min="12" max="12" width="19" customWidth="1"/>
    <col min="13" max="13" width="14" customWidth="1"/>
    <col min="14" max="14" width="18" customWidth="1"/>
    <col min="15" max="15" width="3" customWidth="1"/>
    <col min="16" max="18" width="11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7" customHeight="1">
      <c r="A2" s="90" t="s">
        <v>108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1"/>
      <c r="P2" s="41" t="s">
        <v>1</v>
      </c>
      <c r="Q2" s="41" t="s">
        <v>2</v>
      </c>
      <c r="R2" s="41" t="s">
        <v>3</v>
      </c>
    </row>
    <row r="3" spans="1:18" ht="21.95" customHeight="1">
      <c r="A3" s="2" t="s">
        <v>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42">
        <v>0</v>
      </c>
      <c r="Q3" s="42">
        <f t="shared" ref="Q3:Q34" si="0">ROUND($B$10+$B$18*(P3/50*$B$22),2)</f>
        <v>-0.25</v>
      </c>
      <c r="R3" s="42">
        <f t="shared" ref="R3:R34" si="1">MAX(0,$B$9+$B$19*(P3/50*$B$22)-0.5*$B$11*(P3/50*$B$22)^2)</f>
        <v>1.9</v>
      </c>
    </row>
    <row r="4" spans="1:1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42">
        <v>1</v>
      </c>
      <c r="Q4" s="42">
        <f t="shared" si="0"/>
        <v>-0.09</v>
      </c>
      <c r="R4" s="42">
        <f t="shared" si="1"/>
        <v>2.0203457426871374</v>
      </c>
    </row>
    <row r="5" spans="1:18" ht="21.95" customHeight="1">
      <c r="A5" s="43" t="s">
        <v>5</v>
      </c>
      <c r="B5" s="44"/>
      <c r="C5" s="44"/>
      <c r="D5" s="45"/>
      <c r="E5" s="1"/>
      <c r="F5" s="43" t="s">
        <v>6</v>
      </c>
      <c r="G5" s="44"/>
      <c r="H5" s="44"/>
      <c r="I5" s="44"/>
      <c r="J5" s="44"/>
      <c r="K5" s="44"/>
      <c r="L5" s="44"/>
      <c r="M5" s="44"/>
      <c r="N5" s="45"/>
      <c r="O5" s="1"/>
      <c r="P5" s="42">
        <v>2</v>
      </c>
      <c r="Q5" s="42">
        <f t="shared" si="0"/>
        <v>0.08</v>
      </c>
      <c r="R5" s="42">
        <f t="shared" si="1"/>
        <v>2.1342283938360245</v>
      </c>
    </row>
    <row r="6" spans="1:18">
      <c r="A6" s="46" t="s">
        <v>7</v>
      </c>
      <c r="B6" s="47" t="s">
        <v>8</v>
      </c>
      <c r="C6" s="47" t="s">
        <v>9</v>
      </c>
      <c r="D6" s="48" t="s">
        <v>10</v>
      </c>
      <c r="E6" s="1"/>
      <c r="F6" s="49" t="s">
        <v>11</v>
      </c>
      <c r="G6" s="50"/>
      <c r="H6" s="49" t="s">
        <v>12</v>
      </c>
      <c r="I6" s="50"/>
      <c r="J6" s="49" t="s">
        <v>13</v>
      </c>
      <c r="K6" s="50"/>
      <c r="L6" s="91" t="s">
        <v>14</v>
      </c>
      <c r="M6" s="92"/>
      <c r="N6" s="93"/>
      <c r="O6" s="1"/>
      <c r="P6" s="42">
        <v>3</v>
      </c>
      <c r="Q6" s="42">
        <f t="shared" si="0"/>
        <v>0.24</v>
      </c>
      <c r="R6" s="42">
        <f t="shared" si="1"/>
        <v>2.2416479534466611</v>
      </c>
    </row>
    <row r="7" spans="1:18" ht="30" customHeight="1">
      <c r="A7" s="9" t="s">
        <v>15</v>
      </c>
      <c r="B7" s="21">
        <v>8</v>
      </c>
      <c r="C7" s="10" t="s">
        <v>16</v>
      </c>
      <c r="D7" s="18" t="s">
        <v>17</v>
      </c>
      <c r="E7" s="1"/>
      <c r="F7" s="100">
        <f>$B$24</f>
        <v>7.949630035788763</v>
      </c>
      <c r="G7" s="101"/>
      <c r="H7" s="100">
        <f>$B$22</f>
        <v>1.2833811439374898</v>
      </c>
      <c r="I7" s="101"/>
      <c r="J7" s="100">
        <f>$B$26</f>
        <v>3.0814273503494407</v>
      </c>
      <c r="K7" s="101"/>
      <c r="L7" s="94" t="str">
        <f>IF(ABS($B$13-INDEX($J$32:$J$35,MATCH($B$12,$I$32:$I$35,0)))&gt;0.01,"Kugelmasse passt nicht zur Referenz",IF($B$24&gt;=INDEX($M$32:$M$35,MATCH($B$12,$I$32:$I$35,0)),"Gold-Niveau (Disziplin)",IF($B$24&gt;=INDEX($L$32:$L$35,MATCH($B$12,$I$32:$I$35,0)),"Silber-Niveau (Disziplin)",IF($B$24&gt;=INDEX($K$32:$K$35,MATCH($B$12,$I$32:$I$35,0)),"Bronze-Niveau (Disziplin)","unter Bronze-Schwelle"))))</f>
        <v>Silber-Niveau (Disziplin)</v>
      </c>
      <c r="M7" s="95"/>
      <c r="N7" s="96"/>
      <c r="O7" s="1"/>
      <c r="P7" s="42">
        <v>4</v>
      </c>
      <c r="Q7" s="42">
        <f t="shared" si="0"/>
        <v>0.41</v>
      </c>
      <c r="R7" s="42">
        <f t="shared" si="1"/>
        <v>2.3426044215190469</v>
      </c>
    </row>
    <row r="8" spans="1:18" ht="30" customHeight="1">
      <c r="A8" s="12" t="s">
        <v>18</v>
      </c>
      <c r="B8" s="22">
        <v>37</v>
      </c>
      <c r="C8" s="1" t="s">
        <v>19</v>
      </c>
      <c r="D8" s="19" t="s">
        <v>20</v>
      </c>
      <c r="E8" s="1"/>
      <c r="F8" s="102"/>
      <c r="G8" s="103"/>
      <c r="H8" s="102"/>
      <c r="I8" s="103"/>
      <c r="J8" s="102"/>
      <c r="K8" s="103"/>
      <c r="L8" s="97"/>
      <c r="M8" s="98"/>
      <c r="N8" s="99"/>
      <c r="O8" s="1"/>
      <c r="P8" s="42">
        <v>5</v>
      </c>
      <c r="Q8" s="42">
        <f t="shared" si="0"/>
        <v>0.56999999999999995</v>
      </c>
      <c r="R8" s="42">
        <f t="shared" si="1"/>
        <v>2.4370977980531827</v>
      </c>
    </row>
    <row r="9" spans="1:18" ht="30" customHeight="1">
      <c r="A9" s="12" t="s">
        <v>21</v>
      </c>
      <c r="B9" s="22">
        <v>1.9</v>
      </c>
      <c r="C9" s="1" t="s">
        <v>22</v>
      </c>
      <c r="D9" s="19" t="s">
        <v>109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42">
        <v>6</v>
      </c>
      <c r="Q9" s="42">
        <f t="shared" si="0"/>
        <v>0.73</v>
      </c>
      <c r="R9" s="42">
        <f t="shared" si="1"/>
        <v>2.5251280830490677</v>
      </c>
    </row>
    <row r="10" spans="1:18" ht="30" customHeight="1">
      <c r="A10" s="12" t="s">
        <v>24</v>
      </c>
      <c r="B10" s="22">
        <v>-0.25</v>
      </c>
      <c r="C10" s="1" t="s">
        <v>22</v>
      </c>
      <c r="D10" s="19" t="s">
        <v>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42">
        <v>7</v>
      </c>
      <c r="Q10" s="42">
        <f t="shared" si="0"/>
        <v>0.9</v>
      </c>
      <c r="R10" s="42">
        <f t="shared" si="1"/>
        <v>2.6066952765067022</v>
      </c>
    </row>
    <row r="11" spans="1:18" ht="30" customHeight="1">
      <c r="A11" s="12" t="s">
        <v>26</v>
      </c>
      <c r="B11" s="22">
        <v>9.81</v>
      </c>
      <c r="C11" s="1" t="s">
        <v>27</v>
      </c>
      <c r="D11" s="19" t="s">
        <v>28</v>
      </c>
      <c r="E11" s="1"/>
      <c r="F11" s="43" t="s">
        <v>29</v>
      </c>
      <c r="G11" s="44"/>
      <c r="H11" s="44"/>
      <c r="I11" s="44"/>
      <c r="J11" s="44"/>
      <c r="K11" s="44"/>
      <c r="L11" s="44"/>
      <c r="M11" s="44"/>
      <c r="N11" s="45"/>
      <c r="O11" s="1"/>
      <c r="P11" s="42">
        <v>8</v>
      </c>
      <c r="Q11" s="42">
        <f t="shared" si="0"/>
        <v>1.06</v>
      </c>
      <c r="R11" s="42">
        <f t="shared" si="1"/>
        <v>2.6817993784260858</v>
      </c>
    </row>
    <row r="12" spans="1:18" ht="30" customHeight="1">
      <c r="A12" s="12" t="s">
        <v>30</v>
      </c>
      <c r="B12" s="17" t="s">
        <v>31</v>
      </c>
      <c r="C12" s="1"/>
      <c r="D12" s="19" t="s">
        <v>32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2">
        <v>9</v>
      </c>
      <c r="Q12" s="42">
        <f t="shared" si="0"/>
        <v>1.23</v>
      </c>
      <c r="R12" s="42">
        <f t="shared" si="1"/>
        <v>2.7504403888072195</v>
      </c>
    </row>
    <row r="13" spans="1:18" ht="30" customHeight="1">
      <c r="A13" s="14" t="s">
        <v>110</v>
      </c>
      <c r="B13" s="23">
        <v>4</v>
      </c>
      <c r="C13" s="15" t="s">
        <v>34</v>
      </c>
      <c r="D13" s="20" t="s">
        <v>111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42">
        <v>10</v>
      </c>
      <c r="Q13" s="42">
        <f t="shared" si="0"/>
        <v>1.39</v>
      </c>
      <c r="R13" s="42">
        <f t="shared" si="1"/>
        <v>2.8126183076501023</v>
      </c>
    </row>
    <row r="14" spans="1: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42">
        <v>11</v>
      </c>
      <c r="Q14" s="42">
        <f t="shared" si="0"/>
        <v>1.55</v>
      </c>
      <c r="R14" s="42">
        <f t="shared" si="1"/>
        <v>2.8683331349547352</v>
      </c>
    </row>
    <row r="15" spans="1:18" ht="21.95" customHeight="1">
      <c r="A15" s="43" t="s">
        <v>36</v>
      </c>
      <c r="B15" s="44"/>
      <c r="C15" s="44"/>
      <c r="D15" s="4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42">
        <v>12</v>
      </c>
      <c r="Q15" s="42">
        <f t="shared" si="0"/>
        <v>1.72</v>
      </c>
      <c r="R15" s="42">
        <f t="shared" si="1"/>
        <v>2.9175848707211167</v>
      </c>
    </row>
    <row r="16" spans="1:18">
      <c r="A16" s="46" t="s">
        <v>37</v>
      </c>
      <c r="B16" s="47" t="s">
        <v>38</v>
      </c>
      <c r="C16" s="47" t="s">
        <v>9</v>
      </c>
      <c r="D16" s="48" t="s">
        <v>39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42">
        <v>13</v>
      </c>
      <c r="Q16" s="42">
        <f t="shared" si="0"/>
        <v>1.88</v>
      </c>
      <c r="R16" s="42">
        <f t="shared" si="1"/>
        <v>2.9603735149492483</v>
      </c>
    </row>
    <row r="17" spans="1:18" ht="21.95" customHeight="1">
      <c r="A17" s="9" t="s">
        <v>40</v>
      </c>
      <c r="B17" s="24">
        <f>RADIANS($B$8)</f>
        <v>0.64577182323790194</v>
      </c>
      <c r="C17" s="10" t="s">
        <v>41</v>
      </c>
      <c r="D17" s="11" t="s">
        <v>42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42">
        <v>14</v>
      </c>
      <c r="Q17" s="42">
        <f t="shared" si="0"/>
        <v>2.0499999999999998</v>
      </c>
      <c r="R17" s="42">
        <f t="shared" si="1"/>
        <v>2.996699067639129</v>
      </c>
    </row>
    <row r="18" spans="1:18" ht="21.95" customHeight="1">
      <c r="A18" s="12" t="s">
        <v>43</v>
      </c>
      <c r="B18" s="25">
        <f>$B$7*COS($B$17)</f>
        <v>6.3890840803783426</v>
      </c>
      <c r="C18" s="1" t="s">
        <v>16</v>
      </c>
      <c r="D18" s="13" t="s">
        <v>44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42">
        <v>15</v>
      </c>
      <c r="Q18" s="42">
        <f t="shared" si="0"/>
        <v>2.21</v>
      </c>
      <c r="R18" s="42">
        <f t="shared" si="1"/>
        <v>3.0265615287907592</v>
      </c>
    </row>
    <row r="19" spans="1:18" ht="21.95" customHeight="1">
      <c r="A19" s="12" t="s">
        <v>45</v>
      </c>
      <c r="B19" s="25">
        <f>$B$7*SIN($B$17)</f>
        <v>4.8145201852163861</v>
      </c>
      <c r="C19" s="1" t="s">
        <v>16</v>
      </c>
      <c r="D19" s="13" t="s">
        <v>46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42">
        <v>16</v>
      </c>
      <c r="Q19" s="42">
        <f t="shared" si="0"/>
        <v>2.37</v>
      </c>
      <c r="R19" s="42">
        <f t="shared" si="1"/>
        <v>3.0499608984041391</v>
      </c>
    </row>
    <row r="20" spans="1:18" ht="21.95" customHeight="1">
      <c r="A20" s="12" t="s">
        <v>47</v>
      </c>
      <c r="B20" s="25">
        <f>$B$19^2+2*$B$11*$B$9</f>
        <v>60.45760461385602</v>
      </c>
      <c r="C20" s="1" t="s">
        <v>48</v>
      </c>
      <c r="D20" s="13" t="s">
        <v>49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42">
        <v>17</v>
      </c>
      <c r="Q20" s="42">
        <f t="shared" si="0"/>
        <v>2.54</v>
      </c>
      <c r="R20" s="42">
        <f t="shared" si="1"/>
        <v>3.0668971764792685</v>
      </c>
    </row>
    <row r="21" spans="1:18" ht="21.95" customHeight="1">
      <c r="A21" s="12" t="s">
        <v>50</v>
      </c>
      <c r="B21" s="25">
        <f>SQRT($B$20)</f>
        <v>7.775448836810388</v>
      </c>
      <c r="C21" s="1" t="s">
        <v>16</v>
      </c>
      <c r="D21" s="13" t="s">
        <v>51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42">
        <v>18</v>
      </c>
      <c r="Q21" s="42">
        <f t="shared" si="0"/>
        <v>2.7</v>
      </c>
      <c r="R21" s="42">
        <f t="shared" si="1"/>
        <v>3.0773703630161471</v>
      </c>
    </row>
    <row r="22" spans="1:18" ht="21.95" customHeight="1">
      <c r="A22" s="12" t="s">
        <v>52</v>
      </c>
      <c r="B22" s="25">
        <f>($B$19+$B$21)/$B$11</f>
        <v>1.2833811439374898</v>
      </c>
      <c r="C22" s="1" t="s">
        <v>53</v>
      </c>
      <c r="D22" s="13" t="s">
        <v>54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42">
        <v>19</v>
      </c>
      <c r="Q22" s="42">
        <f t="shared" si="0"/>
        <v>2.87</v>
      </c>
      <c r="R22" s="42">
        <f t="shared" si="1"/>
        <v>3.0813804580147761</v>
      </c>
    </row>
    <row r="23" spans="1:18" ht="21.95" customHeight="1">
      <c r="A23" s="12" t="s">
        <v>55</v>
      </c>
      <c r="B23" s="25">
        <f>$B$18*$B$22</f>
        <v>8.199630035788763</v>
      </c>
      <c r="C23" s="1" t="s">
        <v>22</v>
      </c>
      <c r="D23" s="13" t="s">
        <v>56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42">
        <v>20</v>
      </c>
      <c r="Q23" s="42">
        <f t="shared" si="0"/>
        <v>3.03</v>
      </c>
      <c r="R23" s="42">
        <f t="shared" si="1"/>
        <v>3.0789274614751534</v>
      </c>
    </row>
    <row r="24" spans="1:18" ht="21.95" customHeight="1">
      <c r="A24" s="27" t="s">
        <v>57</v>
      </c>
      <c r="B24" s="28">
        <f>$B$23+$B$10</f>
        <v>7.949630035788763</v>
      </c>
      <c r="C24" s="29" t="s">
        <v>22</v>
      </c>
      <c r="D24" s="30" t="s">
        <v>58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42">
        <v>21</v>
      </c>
      <c r="Q24" s="42">
        <f t="shared" si="0"/>
        <v>3.19</v>
      </c>
      <c r="R24" s="42">
        <f t="shared" si="1"/>
        <v>3.0700113733972811</v>
      </c>
    </row>
    <row r="25" spans="1:18" ht="21.95" customHeight="1">
      <c r="A25" s="12" t="s">
        <v>59</v>
      </c>
      <c r="B25" s="25">
        <f>$B$19/$B$11</f>
        <v>0.49077677729015146</v>
      </c>
      <c r="C25" s="1" t="s">
        <v>53</v>
      </c>
      <c r="D25" s="13" t="s">
        <v>60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2">
        <v>22</v>
      </c>
      <c r="Q25" s="42">
        <f t="shared" si="0"/>
        <v>3.36</v>
      </c>
      <c r="R25" s="42">
        <f t="shared" si="1"/>
        <v>3.054632193781158</v>
      </c>
    </row>
    <row r="26" spans="1:18" ht="21.95" customHeight="1">
      <c r="A26" s="12" t="s">
        <v>61</v>
      </c>
      <c r="B26" s="25">
        <f>$B$9+$B$19^2/(2*$B$11)</f>
        <v>3.0814273503494407</v>
      </c>
      <c r="C26" s="1" t="s">
        <v>22</v>
      </c>
      <c r="D26" s="13" t="s">
        <v>62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2">
        <v>23</v>
      </c>
      <c r="Q26" s="42">
        <f t="shared" si="0"/>
        <v>3.52</v>
      </c>
      <c r="R26" s="42">
        <f t="shared" si="1"/>
        <v>3.0327899226267836</v>
      </c>
    </row>
    <row r="27" spans="1:18" ht="21.95" customHeight="1">
      <c r="A27" s="14" t="s">
        <v>63</v>
      </c>
      <c r="B27" s="26">
        <f>$B$10+$B$18*$B$25</f>
        <v>2.885614094803894</v>
      </c>
      <c r="C27" s="15" t="s">
        <v>22</v>
      </c>
      <c r="D27" s="16" t="s">
        <v>64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2">
        <v>24</v>
      </c>
      <c r="Q27" s="42">
        <f t="shared" si="0"/>
        <v>3.69</v>
      </c>
      <c r="R27" s="42">
        <f t="shared" si="1"/>
        <v>3.0044845599341592</v>
      </c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2">
        <v>25</v>
      </c>
      <c r="Q28" s="42">
        <f t="shared" si="0"/>
        <v>3.85</v>
      </c>
      <c r="R28" s="42">
        <f t="shared" si="1"/>
        <v>2.9697161057032848</v>
      </c>
    </row>
    <row r="29" spans="1:18" ht="21.95" customHeight="1">
      <c r="A29" s="43" t="s">
        <v>65</v>
      </c>
      <c r="B29" s="44"/>
      <c r="C29" s="44"/>
      <c r="D29" s="44"/>
      <c r="E29" s="44"/>
      <c r="F29" s="44"/>
      <c r="G29" s="45"/>
      <c r="H29" s="1"/>
      <c r="I29" s="43" t="s">
        <v>66</v>
      </c>
      <c r="J29" s="44"/>
      <c r="K29" s="44"/>
      <c r="L29" s="44"/>
      <c r="M29" s="44"/>
      <c r="N29" s="45"/>
      <c r="O29" s="1"/>
      <c r="P29" s="42">
        <v>26</v>
      </c>
      <c r="Q29" s="42">
        <f t="shared" si="0"/>
        <v>4.01</v>
      </c>
      <c r="R29" s="42">
        <f t="shared" si="1"/>
        <v>2.9284845599341605</v>
      </c>
    </row>
    <row r="30" spans="1:18">
      <c r="A30" s="51" t="s">
        <v>67</v>
      </c>
      <c r="B30" s="51" t="s">
        <v>68</v>
      </c>
      <c r="C30" s="51" t="s">
        <v>69</v>
      </c>
      <c r="D30" s="51" t="s">
        <v>70</v>
      </c>
      <c r="E30" s="51" t="s">
        <v>71</v>
      </c>
      <c r="F30" s="51" t="s">
        <v>11</v>
      </c>
      <c r="G30" s="51" t="s">
        <v>72</v>
      </c>
      <c r="H30" s="1"/>
      <c r="I30" s="38" t="s">
        <v>73</v>
      </c>
      <c r="J30" s="38"/>
      <c r="K30" s="38"/>
      <c r="L30" s="38"/>
      <c r="M30" s="38"/>
      <c r="N30" s="38"/>
      <c r="O30" s="1"/>
      <c r="P30" s="42">
        <v>27</v>
      </c>
      <c r="Q30" s="42">
        <f t="shared" si="0"/>
        <v>4.18</v>
      </c>
      <c r="R30" s="42">
        <f t="shared" si="1"/>
        <v>2.8807899226267839</v>
      </c>
    </row>
    <row r="31" spans="1:18">
      <c r="A31" s="52" t="s">
        <v>74</v>
      </c>
      <c r="B31" s="53">
        <f t="shared" ref="B31:B36" si="2">$B$7</f>
        <v>8</v>
      </c>
      <c r="C31" s="53">
        <f>$B$8</f>
        <v>37</v>
      </c>
      <c r="D31" s="53">
        <f>$B$9</f>
        <v>1.9</v>
      </c>
      <c r="E31" s="53">
        <f>$B$10</f>
        <v>-0.25</v>
      </c>
      <c r="F31" s="53">
        <f t="shared" ref="F31:F38" si="3">B31*COS(RADIANS(C31))/$B$11*(B31*SIN(RADIANS(C31))+SQRT((B31*SIN(RADIANS(C31)))^2+2*$B$11*D31))+E31</f>
        <v>7.949630035788763</v>
      </c>
      <c r="G31" s="53">
        <f t="shared" ref="G31:G38" si="4">F31-$B$24</f>
        <v>0</v>
      </c>
      <c r="H31" s="1"/>
      <c r="I31" s="51" t="s">
        <v>75</v>
      </c>
      <c r="J31" s="51" t="s">
        <v>76</v>
      </c>
      <c r="K31" s="51" t="s">
        <v>77</v>
      </c>
      <c r="L31" s="51" t="s">
        <v>78</v>
      </c>
      <c r="M31" s="51" t="s">
        <v>79</v>
      </c>
      <c r="N31" s="51" t="s">
        <v>80</v>
      </c>
      <c r="O31" s="1"/>
      <c r="P31" s="42">
        <v>28</v>
      </c>
      <c r="Q31" s="42">
        <f t="shared" si="0"/>
        <v>4.34</v>
      </c>
      <c r="R31" s="42">
        <f t="shared" si="1"/>
        <v>2.8266321937811578</v>
      </c>
    </row>
    <row r="32" spans="1:18">
      <c r="A32" s="34" t="s">
        <v>81</v>
      </c>
      <c r="B32" s="35">
        <f t="shared" si="2"/>
        <v>8</v>
      </c>
      <c r="C32" s="35">
        <f>$B$8</f>
        <v>37</v>
      </c>
      <c r="D32" s="35">
        <f>0</f>
        <v>0</v>
      </c>
      <c r="E32" s="35">
        <f>$B$10</f>
        <v>-0.25</v>
      </c>
      <c r="F32" s="35">
        <f t="shared" si="3"/>
        <v>6.0212281896077888</v>
      </c>
      <c r="G32" s="35">
        <f t="shared" si="4"/>
        <v>-1.9284018461809742</v>
      </c>
      <c r="H32" s="1"/>
      <c r="I32" s="34" t="s">
        <v>82</v>
      </c>
      <c r="J32" s="35">
        <v>3</v>
      </c>
      <c r="K32" s="35">
        <v>5.5</v>
      </c>
      <c r="L32" s="35">
        <v>6</v>
      </c>
      <c r="M32" s="35">
        <v>6.5</v>
      </c>
      <c r="N32" s="34" t="s">
        <v>83</v>
      </c>
      <c r="O32" s="1"/>
      <c r="P32" s="42">
        <v>29</v>
      </c>
      <c r="Q32" s="42">
        <f t="shared" si="0"/>
        <v>4.51</v>
      </c>
      <c r="R32" s="42">
        <f t="shared" si="1"/>
        <v>2.7660113733972804</v>
      </c>
    </row>
    <row r="33" spans="1:18">
      <c r="A33" s="34" t="s">
        <v>84</v>
      </c>
      <c r="B33" s="35">
        <f t="shared" si="2"/>
        <v>8</v>
      </c>
      <c r="C33" s="35">
        <f>$B$8</f>
        <v>37</v>
      </c>
      <c r="D33" s="35">
        <f>$B$9</f>
        <v>1.9</v>
      </c>
      <c r="E33" s="35">
        <f>0</f>
        <v>0</v>
      </c>
      <c r="F33" s="35">
        <f t="shared" si="3"/>
        <v>8.199630035788763</v>
      </c>
      <c r="G33" s="35">
        <f t="shared" si="4"/>
        <v>0.25</v>
      </c>
      <c r="H33" s="1"/>
      <c r="I33" s="34" t="s">
        <v>85</v>
      </c>
      <c r="J33" s="35">
        <v>3</v>
      </c>
      <c r="K33" s="35">
        <v>5.75</v>
      </c>
      <c r="L33" s="35">
        <v>6.25</v>
      </c>
      <c r="M33" s="35">
        <v>6.75</v>
      </c>
      <c r="N33" s="34" t="s">
        <v>83</v>
      </c>
      <c r="O33" s="1"/>
      <c r="P33" s="42">
        <v>30</v>
      </c>
      <c r="Q33" s="42">
        <f t="shared" si="0"/>
        <v>4.67</v>
      </c>
      <c r="R33" s="42">
        <f t="shared" si="1"/>
        <v>2.6989274614751535</v>
      </c>
    </row>
    <row r="34" spans="1:18">
      <c r="A34" s="34" t="s">
        <v>86</v>
      </c>
      <c r="B34" s="35">
        <f t="shared" si="2"/>
        <v>8</v>
      </c>
      <c r="C34" s="35">
        <f>$B$8</f>
        <v>37</v>
      </c>
      <c r="D34" s="35">
        <f>0</f>
        <v>0</v>
      </c>
      <c r="E34" s="35">
        <f>0</f>
        <v>0</v>
      </c>
      <c r="F34" s="35">
        <f t="shared" si="3"/>
        <v>6.2712281896077888</v>
      </c>
      <c r="G34" s="35">
        <f t="shared" si="4"/>
        <v>-1.6784018461809742</v>
      </c>
      <c r="H34" s="1"/>
      <c r="I34" s="34" t="s">
        <v>31</v>
      </c>
      <c r="J34" s="35">
        <v>4</v>
      </c>
      <c r="K34" s="35">
        <v>7</v>
      </c>
      <c r="L34" s="35">
        <v>7.5</v>
      </c>
      <c r="M34" s="35">
        <v>8</v>
      </c>
      <c r="N34" s="34" t="s">
        <v>83</v>
      </c>
      <c r="O34" s="1"/>
      <c r="P34" s="42">
        <v>31</v>
      </c>
      <c r="Q34" s="42">
        <f t="shared" si="0"/>
        <v>4.83</v>
      </c>
      <c r="R34" s="42">
        <f t="shared" si="1"/>
        <v>2.6253804580147766</v>
      </c>
    </row>
    <row r="35" spans="1:18">
      <c r="A35" s="34" t="s">
        <v>87</v>
      </c>
      <c r="B35" s="35">
        <f t="shared" si="2"/>
        <v>8</v>
      </c>
      <c r="C35" s="35">
        <f>MAX(0,$B$8-5)</f>
        <v>32</v>
      </c>
      <c r="D35" s="35">
        <f>$B$9</f>
        <v>1.9</v>
      </c>
      <c r="E35" s="35">
        <f>$B$10</f>
        <v>-0.25</v>
      </c>
      <c r="F35" s="35">
        <f t="shared" si="3"/>
        <v>7.8223782820424965</v>
      </c>
      <c r="G35" s="35">
        <f t="shared" si="4"/>
        <v>-0.12725175374626652</v>
      </c>
      <c r="H35" s="1"/>
      <c r="I35" s="34" t="s">
        <v>88</v>
      </c>
      <c r="J35" s="35">
        <v>5</v>
      </c>
      <c r="K35" s="35">
        <v>7.5</v>
      </c>
      <c r="L35" s="35">
        <v>8</v>
      </c>
      <c r="M35" s="35">
        <v>8.5</v>
      </c>
      <c r="N35" s="34" t="s">
        <v>83</v>
      </c>
      <c r="O35" s="1"/>
      <c r="P35" s="42">
        <v>32</v>
      </c>
      <c r="Q35" s="42">
        <f t="shared" ref="Q35:Q66" si="5">ROUND($B$10+$B$18*(P35/50*$B$22),2)</f>
        <v>5</v>
      </c>
      <c r="R35" s="42">
        <f t="shared" ref="R35:R53" si="6">MAX(0,$B$9+$B$19*(P35/50*$B$22)-0.5*$B$11*(P35/50*$B$22)^2)</f>
        <v>2.5453703630161475</v>
      </c>
    </row>
    <row r="36" spans="1:18">
      <c r="A36" s="34" t="s">
        <v>89</v>
      </c>
      <c r="B36" s="35">
        <f t="shared" si="2"/>
        <v>8</v>
      </c>
      <c r="C36" s="35">
        <f>MIN(89,$B$8+5)</f>
        <v>42</v>
      </c>
      <c r="D36" s="35">
        <f>$B$9</f>
        <v>1.9</v>
      </c>
      <c r="E36" s="35">
        <f>$B$10</f>
        <v>-0.25</v>
      </c>
      <c r="F36" s="35">
        <f t="shared" si="3"/>
        <v>7.9150263653606832</v>
      </c>
      <c r="G36" s="35">
        <f t="shared" si="4"/>
        <v>-3.460367042807988E-2</v>
      </c>
      <c r="H36" s="1"/>
      <c r="I36" s="1"/>
      <c r="J36" s="1"/>
      <c r="K36" s="1"/>
      <c r="L36" s="1"/>
      <c r="M36" s="1"/>
      <c r="N36" s="1"/>
      <c r="O36" s="1"/>
      <c r="P36" s="42">
        <v>33</v>
      </c>
      <c r="Q36" s="42">
        <f t="shared" si="5"/>
        <v>5.16</v>
      </c>
      <c r="R36" s="42">
        <f t="shared" si="6"/>
        <v>2.458897176479268</v>
      </c>
    </row>
    <row r="37" spans="1:18">
      <c r="A37" s="34" t="s">
        <v>90</v>
      </c>
      <c r="B37" s="35">
        <f>MAX(0,$B$7-1)</f>
        <v>7</v>
      </c>
      <c r="C37" s="35">
        <f>$B$8</f>
        <v>37</v>
      </c>
      <c r="D37" s="35">
        <f>$B$9</f>
        <v>1.9</v>
      </c>
      <c r="E37" s="35">
        <f>$B$10</f>
        <v>-0.25</v>
      </c>
      <c r="F37" s="35">
        <f t="shared" si="3"/>
        <v>6.377947603673082</v>
      </c>
      <c r="G37" s="35">
        <f t="shared" si="4"/>
        <v>-1.571682432115681</v>
      </c>
      <c r="H37" s="1"/>
      <c r="I37" s="1"/>
      <c r="J37" s="1"/>
      <c r="K37" s="1"/>
      <c r="L37" s="1"/>
      <c r="M37" s="1"/>
      <c r="N37" s="1"/>
      <c r="O37" s="1"/>
      <c r="P37" s="42">
        <v>34</v>
      </c>
      <c r="Q37" s="42">
        <f t="shared" si="5"/>
        <v>5.33</v>
      </c>
      <c r="R37" s="42">
        <f t="shared" si="6"/>
        <v>2.3659608984041394</v>
      </c>
    </row>
    <row r="38" spans="1:18">
      <c r="A38" s="34" t="s">
        <v>91</v>
      </c>
      <c r="B38" s="35">
        <f>$B$7+1</f>
        <v>9</v>
      </c>
      <c r="C38" s="35">
        <f>$B$8</f>
        <v>37</v>
      </c>
      <c r="D38" s="35">
        <f>$B$9</f>
        <v>1.9</v>
      </c>
      <c r="E38" s="35">
        <f>$B$10</f>
        <v>-0.25</v>
      </c>
      <c r="F38" s="35">
        <f t="shared" si="3"/>
        <v>9.6985932514520368</v>
      </c>
      <c r="G38" s="35">
        <f t="shared" si="4"/>
        <v>1.7489632156632737</v>
      </c>
      <c r="H38" s="1"/>
      <c r="I38" s="51" t="s">
        <v>92</v>
      </c>
      <c r="J38" s="51" t="s">
        <v>76</v>
      </c>
      <c r="K38" s="51" t="s">
        <v>93</v>
      </c>
      <c r="L38" s="51" t="s">
        <v>94</v>
      </c>
      <c r="M38" s="51" t="s">
        <v>95</v>
      </c>
      <c r="N38" s="51" t="s">
        <v>80</v>
      </c>
      <c r="O38" s="1"/>
      <c r="P38" s="42">
        <v>35</v>
      </c>
      <c r="Q38" s="42">
        <f t="shared" si="5"/>
        <v>5.49</v>
      </c>
      <c r="R38" s="42">
        <f t="shared" si="6"/>
        <v>2.2665615287907594</v>
      </c>
    </row>
    <row r="39" spans="1:18">
      <c r="A39" s="1"/>
      <c r="B39" s="1"/>
      <c r="C39" s="1"/>
      <c r="D39" s="1"/>
      <c r="E39" s="1"/>
      <c r="F39" s="1"/>
      <c r="G39" s="1"/>
      <c r="H39" s="1"/>
      <c r="I39" s="34" t="s">
        <v>96</v>
      </c>
      <c r="J39" s="35">
        <v>4</v>
      </c>
      <c r="K39" s="35">
        <v>22.63</v>
      </c>
      <c r="L39" s="34" t="s">
        <v>112</v>
      </c>
      <c r="M39" s="34">
        <v>1987</v>
      </c>
      <c r="N39" s="34" t="s">
        <v>98</v>
      </c>
      <c r="O39" s="1"/>
      <c r="P39" s="42">
        <v>36</v>
      </c>
      <c r="Q39" s="42">
        <f t="shared" si="5"/>
        <v>5.65</v>
      </c>
      <c r="R39" s="42">
        <f t="shared" si="6"/>
        <v>2.1606990676391291</v>
      </c>
    </row>
    <row r="40" spans="1:18" ht="21.95" customHeight="1">
      <c r="A40" s="43" t="s">
        <v>99</v>
      </c>
      <c r="B40" s="44"/>
      <c r="C40" s="44"/>
      <c r="D40" s="44"/>
      <c r="E40" s="44"/>
      <c r="F40" s="44"/>
      <c r="G40" s="45"/>
      <c r="H40" s="1"/>
      <c r="I40" s="34" t="s">
        <v>100</v>
      </c>
      <c r="J40" s="35">
        <v>7.26</v>
      </c>
      <c r="K40" s="35">
        <v>23.56</v>
      </c>
      <c r="L40" s="34" t="s">
        <v>113</v>
      </c>
      <c r="M40" s="34">
        <v>2023</v>
      </c>
      <c r="N40" s="34" t="s">
        <v>98</v>
      </c>
      <c r="O40" s="1"/>
      <c r="P40" s="42">
        <v>37</v>
      </c>
      <c r="Q40" s="42">
        <f t="shared" si="5"/>
        <v>5.82</v>
      </c>
      <c r="R40" s="42">
        <f t="shared" si="6"/>
        <v>2.0483735149492484</v>
      </c>
    </row>
    <row r="41" spans="1:18" ht="27" customHeight="1">
      <c r="A41" s="104" t="s">
        <v>102</v>
      </c>
      <c r="B41" s="105"/>
      <c r="C41" s="105"/>
      <c r="D41" s="105"/>
      <c r="E41" s="105"/>
      <c r="F41" s="105"/>
      <c r="G41" s="106"/>
      <c r="H41" s="1"/>
      <c r="I41" s="1"/>
      <c r="J41" s="1"/>
      <c r="K41" s="1"/>
      <c r="L41" s="1"/>
      <c r="M41" s="1"/>
      <c r="N41" s="1"/>
      <c r="O41" s="1"/>
      <c r="P41" s="42">
        <v>38</v>
      </c>
      <c r="Q41" s="42">
        <f t="shared" si="5"/>
        <v>5.98</v>
      </c>
      <c r="R41" s="42">
        <f t="shared" si="6"/>
        <v>1.9295848707211167</v>
      </c>
    </row>
    <row r="42" spans="1:18" ht="27" customHeight="1">
      <c r="A42" s="107"/>
      <c r="B42" s="108"/>
      <c r="C42" s="108"/>
      <c r="D42" s="108"/>
      <c r="E42" s="108"/>
      <c r="F42" s="108"/>
      <c r="G42" s="109"/>
      <c r="H42" s="1"/>
      <c r="I42" s="68" t="s">
        <v>114</v>
      </c>
      <c r="J42" s="69"/>
      <c r="K42" s="69"/>
      <c r="L42" s="69"/>
      <c r="M42" s="69"/>
      <c r="N42" s="70"/>
      <c r="O42" s="1"/>
      <c r="P42" s="42">
        <v>39</v>
      </c>
      <c r="Q42" s="42">
        <f t="shared" si="5"/>
        <v>6.15</v>
      </c>
      <c r="R42" s="42">
        <f t="shared" si="6"/>
        <v>1.8043331349547342</v>
      </c>
    </row>
    <row r="43" spans="1:18" ht="24.95" customHeight="1">
      <c r="A43" s="81" t="s">
        <v>104</v>
      </c>
      <c r="B43" s="82"/>
      <c r="C43" s="82"/>
      <c r="D43" s="82"/>
      <c r="E43" s="82"/>
      <c r="F43" s="82"/>
      <c r="G43" s="83"/>
      <c r="H43" s="1"/>
      <c r="I43" s="71"/>
      <c r="J43" s="72"/>
      <c r="K43" s="72"/>
      <c r="L43" s="72"/>
      <c r="M43" s="72"/>
      <c r="N43" s="73"/>
      <c r="O43" s="1"/>
      <c r="P43" s="42">
        <v>40</v>
      </c>
      <c r="Q43" s="42">
        <f t="shared" si="5"/>
        <v>6.31</v>
      </c>
      <c r="R43" s="42">
        <f t="shared" si="6"/>
        <v>1.6726183076501009</v>
      </c>
    </row>
    <row r="44" spans="1:18" ht="24.95" customHeight="1">
      <c r="A44" s="84" t="s">
        <v>115</v>
      </c>
      <c r="B44" s="85"/>
      <c r="C44" s="85"/>
      <c r="D44" s="85"/>
      <c r="E44" s="85"/>
      <c r="F44" s="85"/>
      <c r="G44" s="86"/>
      <c r="H44" s="1"/>
      <c r="I44" s="1"/>
      <c r="J44" s="1"/>
      <c r="K44" s="1"/>
      <c r="L44" s="1"/>
      <c r="M44" s="1"/>
      <c r="N44" s="1"/>
      <c r="O44" s="1"/>
      <c r="P44" s="42">
        <v>41</v>
      </c>
      <c r="Q44" s="42">
        <f t="shared" si="5"/>
        <v>6.47</v>
      </c>
      <c r="R44" s="42">
        <f t="shared" si="6"/>
        <v>1.5344403888072202</v>
      </c>
    </row>
    <row r="45" spans="1:18" ht="24.95" customHeight="1">
      <c r="A45" s="87"/>
      <c r="B45" s="88"/>
      <c r="C45" s="88"/>
      <c r="D45" s="88"/>
      <c r="E45" s="88"/>
      <c r="F45" s="88"/>
      <c r="G45" s="89"/>
      <c r="H45" s="1"/>
      <c r="I45" s="39" t="s">
        <v>83</v>
      </c>
      <c r="J45" s="74" t="s">
        <v>106</v>
      </c>
      <c r="K45" s="74"/>
      <c r="L45" s="74"/>
      <c r="M45" s="74"/>
      <c r="N45" s="74"/>
      <c r="O45" s="1"/>
      <c r="P45" s="42">
        <v>42</v>
      </c>
      <c r="Q45" s="42">
        <f t="shared" si="5"/>
        <v>6.64</v>
      </c>
      <c r="R45" s="42">
        <f t="shared" si="6"/>
        <v>1.389799378426086</v>
      </c>
    </row>
    <row r="46" spans="1:18" ht="24.95" customHeight="1">
      <c r="A46" s="1"/>
      <c r="B46" s="1"/>
      <c r="C46" s="1"/>
      <c r="D46" s="1"/>
      <c r="E46" s="1"/>
      <c r="F46" s="1"/>
      <c r="G46" s="1"/>
      <c r="H46" s="1"/>
      <c r="I46" s="39" t="s">
        <v>98</v>
      </c>
      <c r="J46" s="74" t="s">
        <v>116</v>
      </c>
      <c r="K46" s="74"/>
      <c r="L46" s="74"/>
      <c r="M46" s="74"/>
      <c r="N46" s="74"/>
      <c r="O46" s="1"/>
      <c r="P46" s="42">
        <v>43</v>
      </c>
      <c r="Q46" s="42">
        <f t="shared" si="5"/>
        <v>6.8</v>
      </c>
      <c r="R46" s="42">
        <f t="shared" si="6"/>
        <v>1.2386952765067019</v>
      </c>
    </row>
    <row r="47" spans="1:18" ht="24.95" customHeight="1">
      <c r="A47" s="1"/>
      <c r="B47" s="1"/>
      <c r="C47" s="1"/>
      <c r="D47" s="1"/>
      <c r="E47" s="1"/>
      <c r="F47" s="1"/>
      <c r="G47" s="1"/>
      <c r="H47" s="1"/>
      <c r="I47" s="39" t="s">
        <v>117</v>
      </c>
      <c r="J47" s="74" t="s">
        <v>118</v>
      </c>
      <c r="K47" s="74"/>
      <c r="L47" s="74"/>
      <c r="M47" s="74"/>
      <c r="N47" s="74"/>
      <c r="O47" s="1"/>
      <c r="P47" s="42">
        <v>44</v>
      </c>
      <c r="Q47" s="42">
        <f t="shared" si="5"/>
        <v>6.97</v>
      </c>
      <c r="R47" s="42">
        <f t="shared" si="6"/>
        <v>1.0811280830490668</v>
      </c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42">
        <v>45</v>
      </c>
      <c r="Q48" s="42">
        <f t="shared" si="5"/>
        <v>7.13</v>
      </c>
      <c r="R48" s="42">
        <f t="shared" si="6"/>
        <v>0.91709779805318181</v>
      </c>
    </row>
    <row r="49" spans="1: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42">
        <v>46</v>
      </c>
      <c r="Q49" s="42">
        <f t="shared" si="5"/>
        <v>7.29</v>
      </c>
      <c r="R49" s="42">
        <f t="shared" si="6"/>
        <v>0.74660442151904682</v>
      </c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42">
        <v>47</v>
      </c>
      <c r="Q50" s="42">
        <f t="shared" si="5"/>
        <v>7.46</v>
      </c>
      <c r="R50" s="42">
        <f t="shared" si="6"/>
        <v>0.56964795344666097</v>
      </c>
    </row>
    <row r="51" spans="1: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42">
        <v>48</v>
      </c>
      <c r="Q51" s="42">
        <f t="shared" si="5"/>
        <v>7.62</v>
      </c>
      <c r="R51" s="42">
        <f t="shared" si="6"/>
        <v>0.38622839383602336</v>
      </c>
    </row>
    <row r="52" spans="1: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42">
        <v>49</v>
      </c>
      <c r="Q52" s="42">
        <f t="shared" si="5"/>
        <v>7.79</v>
      </c>
      <c r="R52" s="42">
        <f t="shared" si="6"/>
        <v>0.19634574268713667</v>
      </c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42">
        <v>50</v>
      </c>
      <c r="Q53" s="42">
        <f t="shared" si="5"/>
        <v>7.95</v>
      </c>
      <c r="R53" s="42">
        <f t="shared" si="6"/>
        <v>0</v>
      </c>
    </row>
  </sheetData>
  <mergeCells count="13">
    <mergeCell ref="I42:N43"/>
    <mergeCell ref="J45:N45"/>
    <mergeCell ref="J46:N46"/>
    <mergeCell ref="J47:N47"/>
    <mergeCell ref="A41:G42"/>
    <mergeCell ref="A43:G43"/>
    <mergeCell ref="A44:G45"/>
    <mergeCell ref="A2:N2"/>
    <mergeCell ref="L6:N6"/>
    <mergeCell ref="L7:N8"/>
    <mergeCell ref="F7:G8"/>
    <mergeCell ref="H7:I8"/>
    <mergeCell ref="J7:K8"/>
  </mergeCells>
  <conditionalFormatting sqref="G31:G38">
    <cfRule type="cellIs" dxfId="6" priority="5" operator="greaterThan">
      <formula>0</formula>
    </cfRule>
    <cfRule type="cellIs" dxfId="5" priority="6" operator="lessThan">
      <formula>0</formula>
    </cfRule>
  </conditionalFormatting>
  <conditionalFormatting sqref="I32:N35">
    <cfRule type="expression" dxfId="4" priority="7">
      <formula>$I32=$B$12</formula>
    </cfRule>
  </conditionalFormatting>
  <conditionalFormatting sqref="L7">
    <cfRule type="containsText" dxfId="3" priority="1" operator="containsText" text="Gold"/>
    <cfRule type="containsText" dxfId="2" priority="2" operator="containsText" text="Silber"/>
    <cfRule type="containsText" dxfId="1" priority="3" operator="containsText" text="Bronze"/>
    <cfRule type="containsText" dxfId="0" priority="4" operator="containsText" text="nicht"/>
  </conditionalFormatting>
  <dataValidations count="7">
    <dataValidation type="decimal" sqref="B7" xr:uid="{00000000-0002-0000-0100-000000000000}">
      <formula1>0</formula1>
      <formula2>25</formula2>
    </dataValidation>
    <dataValidation type="decimal" sqref="B8" xr:uid="{00000000-0002-0000-0100-000001000000}">
      <formula1>0</formula1>
      <formula2>89</formula2>
    </dataValidation>
    <dataValidation type="decimal" sqref="B9" xr:uid="{00000000-0002-0000-0100-000002000000}">
      <formula1>0</formula1>
      <formula2>4</formula2>
    </dataValidation>
    <dataValidation type="decimal" sqref="B10" xr:uid="{00000000-0002-0000-0100-000003000000}">
      <formula1>-5</formula1>
      <formula2>5</formula2>
    </dataValidation>
    <dataValidation type="decimal" sqref="B11" xr:uid="{00000000-0002-0000-0100-000004000000}">
      <formula1>0.1</formula1>
      <formula2>30</formula2>
    </dataValidation>
    <dataValidation type="list" sqref="B12" xr:uid="{00000000-0002-0000-0100-000005000000}">
      <formula1>"weiblich 14–15,weiblich 16–17,männlich 14–15,männlich 16–17"</formula1>
    </dataValidation>
    <dataValidation type="decimal" sqref="B13" xr:uid="{00000000-0002-0000-0100-000006000000}">
      <formula1>0.5</formula1>
      <formula2>10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Weitsprung</vt:lpstr>
      <vt:lpstr>Kugelstoß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Ertelt</cp:lastModifiedBy>
  <dcterms:modified xsi:type="dcterms:W3CDTF">2026-09-24T06:39:56Z</dcterms:modified>
</cp:coreProperties>
</file>